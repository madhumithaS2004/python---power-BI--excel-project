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omments1.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 ZBOOK 15 G3\Downloads\"/>
    </mc:Choice>
  </mc:AlternateContent>
  <xr:revisionPtr revIDLastSave="0" documentId="13_ncr:1_{D2EB6AC8-B6A2-4543-BCC7-FB98D7E9D621}" xr6:coauthVersionLast="47" xr6:coauthVersionMax="47" xr10:uidLastSave="{00000000-0000-0000-0000-000000000000}"/>
  <bookViews>
    <workbookView xWindow="-110" yWindow="-110" windowWidth="19420" windowHeight="10300" activeTab="2" xr2:uid="{09ED46DE-924B-4F87-A435-105EA3E3F249}"/>
  </bookViews>
  <sheets>
    <sheet name="Call Center Data" sheetId="2" r:id="rId1"/>
    <sheet name="Sheet3" sheetId="10" r:id="rId2"/>
    <sheet name="Dash board" sheetId="4" r:id="rId3"/>
  </sheets>
  <definedNames>
    <definedName name="_xlcn.WorksheetConnection_CallCenterDataB6N76" hidden="1">'Call Center Data'!$B$6:$N$76</definedName>
    <definedName name="Slicer_Gender">#N/A</definedName>
    <definedName name="Slicer_State">#N/A</definedName>
  </definedNames>
  <calcPr calcId="191029"/>
  <pivotCaches>
    <pivotCache cacheId="1" r:id="rId4"/>
    <pivotCache cacheId="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Call Center Data!$B$6:$N$7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HP ZBOOK 15 G3</author>
  </authors>
  <commentList>
    <comment ref="G6" authorId="0" shapeId="0" xr:uid="{750B8418-3CF3-49BC-9AA9-83C3150EBB96}">
      <text>
        <r>
          <rPr>
            <sz val="9"/>
            <color indexed="81"/>
            <rFont val="Tahoma"/>
            <charset val="1"/>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9250DF-10BE-479C-B2B8-C9471520567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BACEA1A-F48A-41C6-A1B6-86D8C3F48B39}" name="WorksheetConnection_Call Center Data!$B$6:$N$76" type="102" refreshedVersion="8" minRefreshableVersion="5">
    <extLst>
      <ext xmlns:x15="http://schemas.microsoft.com/office/spreadsheetml/2010/11/main" uri="{DE250136-89BD-433C-8126-D09CA5730AF9}">
        <x15:connection id="Range" autoDelete="1">
          <x15:rangePr sourceName="_xlcn.WorksheetConnection_CallCenterDataB6N76"/>
        </x15:connection>
      </ext>
    </extLst>
  </connection>
</connections>
</file>

<file path=xl/sharedStrings.xml><?xml version="1.0" encoding="utf-8"?>
<sst xmlns="http://schemas.openxmlformats.org/spreadsheetml/2006/main" count="734" uniqueCount="268">
  <si>
    <t>Excel Sample Data</t>
  </si>
  <si>
    <t>Call Center Sentiment Analysis Data</t>
  </si>
  <si>
    <t>ID</t>
  </si>
  <si>
    <t>Customer Name</t>
  </si>
  <si>
    <t>Sentiment</t>
  </si>
  <si>
    <t>CSAT Score</t>
  </si>
  <si>
    <t>Call Timestamp</t>
  </si>
  <si>
    <t>Reason</t>
  </si>
  <si>
    <t>City</t>
  </si>
  <si>
    <t>State</t>
  </si>
  <si>
    <t>Channel</t>
  </si>
  <si>
    <t>Response Time</t>
  </si>
  <si>
    <t>Call Duration (Minutes)</t>
  </si>
  <si>
    <t>Call Center</t>
  </si>
  <si>
    <t>PIS-39858047</t>
  </si>
  <si>
    <t>Frances Gullefant</t>
  </si>
  <si>
    <t>Neutral</t>
  </si>
  <si>
    <t>Billing Question</t>
  </si>
  <si>
    <t>Charleston</t>
  </si>
  <si>
    <t>West Virginia</t>
  </si>
  <si>
    <t>Chatbot</t>
  </si>
  <si>
    <t>Within SLA</t>
  </si>
  <si>
    <t>Chicago/IL</t>
  </si>
  <si>
    <t>ROH-40287216</t>
  </si>
  <si>
    <t>Harcourt Zoanetti</t>
  </si>
  <si>
    <t>Negative</t>
  </si>
  <si>
    <t>Honolulu</t>
  </si>
  <si>
    <t>Hawaii</t>
  </si>
  <si>
    <t>Call-Center</t>
  </si>
  <si>
    <t>Los Angeles/CA</t>
  </si>
  <si>
    <t>NKC-39578431</t>
  </si>
  <si>
    <t>Washington Oxteby</t>
  </si>
  <si>
    <t>Dallas</t>
  </si>
  <si>
    <t>Texas</t>
  </si>
  <si>
    <t>Denver/CO</t>
  </si>
  <si>
    <t>APY-17008648</t>
  </si>
  <si>
    <t>Rafe Duffitt</t>
  </si>
  <si>
    <t>Very Negative</t>
  </si>
  <si>
    <t>Fort Myers</t>
  </si>
  <si>
    <t>Florida</t>
  </si>
  <si>
    <t>Email</t>
  </si>
  <si>
    <t>Below SLA</t>
  </si>
  <si>
    <t>MHK-38443501</t>
  </si>
  <si>
    <t>Tris Bent</t>
  </si>
  <si>
    <t>Positive</t>
  </si>
  <si>
    <t>Tuscaloosa</t>
  </si>
  <si>
    <t>Alabama</t>
  </si>
  <si>
    <t>Web</t>
  </si>
  <si>
    <t>QKL-49133006</t>
  </si>
  <si>
    <t>Kassie Elman</t>
  </si>
  <si>
    <t>South Carolina</t>
  </si>
  <si>
    <t>Baltimore/MD</t>
  </si>
  <si>
    <t>ZPZ-31710059</t>
  </si>
  <si>
    <t>Elbertina Hewins</t>
  </si>
  <si>
    <t>Very Positive</t>
  </si>
  <si>
    <t>Payments</t>
  </si>
  <si>
    <t>Pensacola</t>
  </si>
  <si>
    <t>IJF-13083880</t>
  </si>
  <si>
    <t>Garland Chuney</t>
  </si>
  <si>
    <t>Little Rock</t>
  </si>
  <si>
    <t>Arkansas</t>
  </si>
  <si>
    <t>ZKW-68562847</t>
  </si>
  <si>
    <t>Caroljean Bischop</t>
  </si>
  <si>
    <t>Nashville</t>
  </si>
  <si>
    <t>Tennessee</t>
  </si>
  <si>
    <t>NIL-47926257</t>
  </si>
  <si>
    <t>Delmor McKleod</t>
  </si>
  <si>
    <t>El Paso</t>
  </si>
  <si>
    <t>BPQ-80812775</t>
  </si>
  <si>
    <t>Julee O'Gavin</t>
  </si>
  <si>
    <t>Santa Ana</t>
  </si>
  <si>
    <t>California</t>
  </si>
  <si>
    <t>Above SLA</t>
  </si>
  <si>
    <t>ZOK-34480332</t>
  </si>
  <si>
    <t>Jaye Gribbon</t>
  </si>
  <si>
    <t>Huntington</t>
  </si>
  <si>
    <t>ZMB-79323804</t>
  </si>
  <si>
    <t>Brodie Dobrowski</t>
  </si>
  <si>
    <t>Pittsburgh</t>
  </si>
  <si>
    <t>Pennsylvania</t>
  </si>
  <si>
    <t>YYO-56445305</t>
  </si>
  <si>
    <t>Sibylla Kemet</t>
  </si>
  <si>
    <t>Tucson</t>
  </si>
  <si>
    <t>Arizona</t>
  </si>
  <si>
    <t>JYD-67455825</t>
  </si>
  <si>
    <t>Quintilla Hourston</t>
  </si>
  <si>
    <t>Des Moines</t>
  </si>
  <si>
    <t>Iowa</t>
  </si>
  <si>
    <t>KNO-93249512</t>
  </si>
  <si>
    <t>Maggi Simpson</t>
  </si>
  <si>
    <t>San Francisco</t>
  </si>
  <si>
    <t>VFG-63863025</t>
  </si>
  <si>
    <t>Early Andrassy</t>
  </si>
  <si>
    <t>Lansing</t>
  </si>
  <si>
    <t>Michigan</t>
  </si>
  <si>
    <t>UCT-41608771</t>
  </si>
  <si>
    <t>Ettie Ruoff</t>
  </si>
  <si>
    <t>Washington</t>
  </si>
  <si>
    <t>District of Columbia</t>
  </si>
  <si>
    <t>YLF-83918836</t>
  </si>
  <si>
    <t>Bogey McReath</t>
  </si>
  <si>
    <t>New York City</t>
  </si>
  <si>
    <t>New York</t>
  </si>
  <si>
    <t>QCH-83950486</t>
  </si>
  <si>
    <t>Sephira Philippart</t>
  </si>
  <si>
    <t>Madison</t>
  </si>
  <si>
    <t>Wisconsin</t>
  </si>
  <si>
    <t>PDB-14404239</t>
  </si>
  <si>
    <t>Charles Sandison</t>
  </si>
  <si>
    <t>Fort Pierce</t>
  </si>
  <si>
    <t>LFZ-17229282</t>
  </si>
  <si>
    <t>Zora Keelin</t>
  </si>
  <si>
    <t>Lubbock</t>
  </si>
  <si>
    <t>VKV-67119644</t>
  </si>
  <si>
    <t>Lillis Dewhurst</t>
  </si>
  <si>
    <t>Stockton</t>
  </si>
  <si>
    <t>PBY-32667898</t>
  </si>
  <si>
    <t>Luz Gudgeon</t>
  </si>
  <si>
    <t>Service Outage</t>
  </si>
  <si>
    <t>Corpus Christi</t>
  </si>
  <si>
    <t>EWI-18960031</t>
  </si>
  <si>
    <t>Abigale Morgan</t>
  </si>
  <si>
    <t>Minneapolis</t>
  </si>
  <si>
    <t>Minnesota</t>
  </si>
  <si>
    <t>IYX-48770048</t>
  </si>
  <si>
    <t>Minette Muzzillo</t>
  </si>
  <si>
    <t>Colorado Springs</t>
  </si>
  <si>
    <t>Colorado</t>
  </si>
  <si>
    <t>EVO-87671386</t>
  </si>
  <si>
    <t>Nanon FitzGilbert</t>
  </si>
  <si>
    <t>Abilene</t>
  </si>
  <si>
    <t>ZYX-10467563</t>
  </si>
  <si>
    <t>Ginelle Olver</t>
  </si>
  <si>
    <t>Fort Lauderdale</t>
  </si>
  <si>
    <t>DZU-03236134</t>
  </si>
  <si>
    <t>Tricia Kinnie</t>
  </si>
  <si>
    <t>Shawnee Mission</t>
  </si>
  <si>
    <t>Kansas</t>
  </si>
  <si>
    <t>CAZ-10660311</t>
  </si>
  <si>
    <t>Kristoforo Burnell</t>
  </si>
  <si>
    <t>Gainesville</t>
  </si>
  <si>
    <t>ESF-57588548</t>
  </si>
  <si>
    <t>Dulsea Pendry</t>
  </si>
  <si>
    <t>Erie</t>
  </si>
  <si>
    <t>WKS-55916097</t>
  </si>
  <si>
    <t>Alberik Jacques</t>
  </si>
  <si>
    <t>Houston</t>
  </si>
  <si>
    <t>OHX-59443580</t>
  </si>
  <si>
    <t>Banky Falla</t>
  </si>
  <si>
    <t>Saint Paul</t>
  </si>
  <si>
    <t>TLA-11600824</t>
  </si>
  <si>
    <t>Ganny Crampsy</t>
  </si>
  <si>
    <t>YPB-82095843</t>
  </si>
  <si>
    <t>Shari Adrienne</t>
  </si>
  <si>
    <t>Fort Worth</t>
  </si>
  <si>
    <t>LZU-62237096</t>
  </si>
  <si>
    <t>Charo Aisbett</t>
  </si>
  <si>
    <t>Salt Lake City</t>
  </si>
  <si>
    <t>Utah</t>
  </si>
  <si>
    <t>XCX-53374693</t>
  </si>
  <si>
    <t>Francyne Hagergham</t>
  </si>
  <si>
    <t>PJL-11752230</t>
  </si>
  <si>
    <t>Lindsay Bubb</t>
  </si>
  <si>
    <t>South Lake Tahoe</t>
  </si>
  <si>
    <t>MFC-52269149</t>
  </si>
  <si>
    <t>Roobbie Pickervance</t>
  </si>
  <si>
    <t>Montgomery</t>
  </si>
  <si>
    <t>TQC-88855863</t>
  </si>
  <si>
    <t>Erminia Lummasana</t>
  </si>
  <si>
    <t>Providence</t>
  </si>
  <si>
    <t>Rhode Island</t>
  </si>
  <si>
    <t>FGR-90006976</t>
  </si>
  <si>
    <t>Ariel Pittendreigh</t>
  </si>
  <si>
    <t>Richmond</t>
  </si>
  <si>
    <t>Virginia</t>
  </si>
  <si>
    <t>PAT-23706620</t>
  </si>
  <si>
    <t>Rudie Tomsen</t>
  </si>
  <si>
    <t>Johnstown</t>
  </si>
  <si>
    <t>XRX-56871498</t>
  </si>
  <si>
    <t>Alric Scrane</t>
  </si>
  <si>
    <t>BYM-24034403</t>
  </si>
  <si>
    <t>Eyde Djurevic</t>
  </si>
  <si>
    <t>Bronx</t>
  </si>
  <si>
    <t>TNK-37391425</t>
  </si>
  <si>
    <t>Hubey Wartonby</t>
  </si>
  <si>
    <t>Las Vegas</t>
  </si>
  <si>
    <t>Nevada</t>
  </si>
  <si>
    <t>JJM-32557838</t>
  </si>
  <si>
    <t>Cirstoforo Jemmett</t>
  </si>
  <si>
    <t>KWC-18652469</t>
  </si>
  <si>
    <t>Elijah Goalby</t>
  </si>
  <si>
    <t>Pasadena</t>
  </si>
  <si>
    <t>GCS-45015293</t>
  </si>
  <si>
    <t>Thaddus Seeley</t>
  </si>
  <si>
    <t>Sacramento</t>
  </si>
  <si>
    <t>IZX-08099835</t>
  </si>
  <si>
    <t>Brody Rebichon</t>
  </si>
  <si>
    <t>Chicago</t>
  </si>
  <si>
    <t>Illinois</t>
  </si>
  <si>
    <t>TPZ-92635583</t>
  </si>
  <si>
    <t>Eartha Boner</t>
  </si>
  <si>
    <t>Fort Wayne</t>
  </si>
  <si>
    <t>Indiana</t>
  </si>
  <si>
    <t>JOT-87331404</t>
  </si>
  <si>
    <t>Loralee Shivell</t>
  </si>
  <si>
    <t>Kansas City</t>
  </si>
  <si>
    <t>Missouri</t>
  </si>
  <si>
    <t>OKK-04567923</t>
  </si>
  <si>
    <t>Zacherie Tigner</t>
  </si>
  <si>
    <t>Long Beach</t>
  </si>
  <si>
    <t>TCX-30032546</t>
  </si>
  <si>
    <t>Madelena Pinnock</t>
  </si>
  <si>
    <t>HMX-04214019</t>
  </si>
  <si>
    <t>Mira Beddows</t>
  </si>
  <si>
    <t>Baton Rouge</t>
  </si>
  <si>
    <t>Louisiana</t>
  </si>
  <si>
    <t>SYU-34524338</t>
  </si>
  <si>
    <t>Giralda Gebby</t>
  </si>
  <si>
    <t>Naperville</t>
  </si>
  <si>
    <t>GBF-72465641</t>
  </si>
  <si>
    <t>Shelagh Washington</t>
  </si>
  <si>
    <t>FMF-68865737</t>
  </si>
  <si>
    <t>Janeczka Caze</t>
  </si>
  <si>
    <t>WMA-45712668</t>
  </si>
  <si>
    <t>Angie Francklin</t>
  </si>
  <si>
    <t>Evansville</t>
  </si>
  <si>
    <t>VEC-69408692</t>
  </si>
  <si>
    <t>Anna-maria McPeice</t>
  </si>
  <si>
    <t>Rockford</t>
  </si>
  <si>
    <t>MBN-58485152</t>
  </si>
  <si>
    <t>Jude Traise</t>
  </si>
  <si>
    <t>Harrisburg</t>
  </si>
  <si>
    <t>VBY-78584211</t>
  </si>
  <si>
    <t>Evangeline Dillingham</t>
  </si>
  <si>
    <t>Reno</t>
  </si>
  <si>
    <t>WSO-69134806</t>
  </si>
  <si>
    <t>Patti Gocher</t>
  </si>
  <si>
    <t>Bloomington</t>
  </si>
  <si>
    <t>MYP-30178430</t>
  </si>
  <si>
    <t>Cora Buggs</t>
  </si>
  <si>
    <t>Katy</t>
  </si>
  <si>
    <t>FRU-31409409</t>
  </si>
  <si>
    <t>Othella Kindle</t>
  </si>
  <si>
    <t>VMZ-59696572</t>
  </si>
  <si>
    <t>Sheppard Withull</t>
  </si>
  <si>
    <t>Concord</t>
  </si>
  <si>
    <t>JCE-87896568</t>
  </si>
  <si>
    <t>Llewellyn Pablos</t>
  </si>
  <si>
    <t>GZL-83273642</t>
  </si>
  <si>
    <t>Lurleen Swadden</t>
  </si>
  <si>
    <t>YHK-31842577</t>
  </si>
  <si>
    <t>Ardith Bunting</t>
  </si>
  <si>
    <t>Columbus</t>
  </si>
  <si>
    <t>Ohio</t>
  </si>
  <si>
    <t>BGA-81071725</t>
  </si>
  <si>
    <t>Wylie Gramer</t>
  </si>
  <si>
    <t>Georgia</t>
  </si>
  <si>
    <t>CRQ-64410572</t>
  </si>
  <si>
    <t>Bat Pond</t>
  </si>
  <si>
    <t>Gender</t>
  </si>
  <si>
    <t xml:space="preserve">female </t>
  </si>
  <si>
    <t>male</t>
  </si>
  <si>
    <t>Row Labels</t>
  </si>
  <si>
    <t>Grand Total</t>
  </si>
  <si>
    <t>Count of Channel</t>
  </si>
  <si>
    <t>Sum of Call Duration (Minutes)</t>
  </si>
  <si>
    <t>Count of Sentiment</t>
  </si>
  <si>
    <t>Sum of CSAT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</si>
</sst>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272760"/>
      <name val="Calibri"/>
      <family val="2"/>
    </font>
    <font>
      <sz val="11"/>
      <color theme="1"/>
      <name val="Calibri"/>
      <family val="2"/>
    </font>
    <font>
      <b/>
      <sz val="13"/>
      <color rgb="FF272760"/>
      <name val="Calibri"/>
      <family val="2"/>
    </font>
    <font>
      <b/>
      <sz val="12"/>
      <color rgb="FFFFFFFF"/>
      <name val="Calibri"/>
      <family val="2"/>
    </font>
    <font>
      <sz val="11"/>
      <color rgb="FF000000"/>
      <name val="Calibri"/>
      <family val="2"/>
    </font>
    <font>
      <sz val="9"/>
      <color indexed="81"/>
      <name val="Tahoma"/>
      <charset val="1"/>
    </font>
    <font>
      <b/>
      <sz val="11"/>
      <color theme="1"/>
      <name val="Calibri"/>
      <family val="2"/>
      <scheme val="minor"/>
    </font>
    <font>
      <sz val="12"/>
      <color theme="1"/>
      <name val="Calibri"/>
      <family val="2"/>
      <scheme val="minor"/>
    </font>
    <font>
      <sz val="10"/>
      <color theme="1"/>
      <name val="Calibri"/>
      <family val="2"/>
      <scheme val="minor"/>
    </font>
  </fonts>
  <fills count="5">
    <fill>
      <patternFill patternType="none"/>
    </fill>
    <fill>
      <patternFill patternType="gray125"/>
    </fill>
    <fill>
      <patternFill patternType="solid">
        <fgColor rgb="FFD9E1F2"/>
        <bgColor indexed="64"/>
      </patternFill>
    </fill>
    <fill>
      <patternFill patternType="solid">
        <fgColor rgb="FF272760"/>
        <bgColor indexed="64"/>
      </patternFill>
    </fill>
    <fill>
      <patternFill patternType="solid">
        <fgColor rgb="FF03062F"/>
        <bgColor indexed="64"/>
      </patternFill>
    </fill>
  </fills>
  <borders count="4">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
      <left/>
      <right/>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Continuous" vertical="center"/>
    </xf>
    <xf numFmtId="0" fontId="2" fillId="0" borderId="0" xfId="0" applyFont="1"/>
    <xf numFmtId="0" fontId="3" fillId="2" borderId="1" xfId="0" applyFont="1" applyFill="1" applyBorder="1" applyAlignment="1">
      <alignment horizontal="centerContinuous" vertical="center"/>
    </xf>
    <xf numFmtId="0" fontId="4" fillId="3" borderId="2" xfId="0" applyFont="1" applyFill="1" applyBorder="1" applyAlignment="1">
      <alignment horizontal="center" vertical="center" wrapText="1"/>
    </xf>
    <xf numFmtId="0" fontId="5" fillId="0" borderId="2" xfId="0" applyFont="1" applyBorder="1" applyAlignment="1">
      <alignment vertical="center"/>
    </xf>
    <xf numFmtId="14" fontId="5" fillId="0" borderId="2" xfId="0" applyNumberFormat="1" applyFont="1" applyBorder="1" applyAlignment="1">
      <alignment vertical="center"/>
    </xf>
    <xf numFmtId="14" fontId="2" fillId="0" borderId="0" xfId="0" applyNumberFormat="1" applyFont="1"/>
    <xf numFmtId="0" fontId="0" fillId="4" borderId="0" xfId="0" applyFill="1"/>
    <xf numFmtId="0" fontId="0" fillId="0" borderId="0" xfId="0" pivotButton="1"/>
    <xf numFmtId="0" fontId="0" fillId="0" borderId="0" xfId="0" applyAlignment="1">
      <alignment horizontal="left"/>
    </xf>
    <xf numFmtId="0" fontId="8" fillId="4" borderId="0" xfId="0" applyFont="1" applyFill="1"/>
    <xf numFmtId="0" fontId="7" fillId="4" borderId="3" xfId="0" applyFont="1" applyFill="1" applyBorder="1"/>
    <xf numFmtId="0" fontId="9" fillId="4" borderId="0" xfId="0" applyFont="1" applyFill="1" applyAlignment="1">
      <alignment horizontal="center" wrapText="1"/>
    </xf>
    <xf numFmtId="0" fontId="0" fillId="0" borderId="0" xfId="0" applyNumberFormat="1"/>
  </cellXfs>
  <cellStyles count="1">
    <cellStyle name="Normal" xfId="0" builtinId="0"/>
  </cellStyles>
  <dxfs count="0"/>
  <tableStyles count="0" defaultTableStyle="TableStyleMedium2" defaultPivotStyle="PivotStyleLight16"/>
  <colors>
    <mruColors>
      <color rgb="FF0306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[Call-Center-Sentiment-Sample-Data.xlsx]Sheet3!PivotTable3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Sheet3!$B$4</c:f>
              <c:strCache>
                <c:ptCount val="1"/>
                <c:pt idx="0">
                  <c:v>Total</c:v>
                </c:pt>
              </c:strCache>
            </c:strRef>
          </c:tx>
          <c:spPr>
            <a:solidFill>
              <a:schemeClr val="accent1"/>
            </a:solidFill>
            <a:ln>
              <a:noFill/>
            </a:ln>
            <a:effectLst/>
            <a:sp3d/>
          </c:spPr>
          <c:invertIfNegative val="0"/>
          <c:cat>
            <c:strRef>
              <c:f>Sheet3!$A$5:$A$6</c:f>
              <c:strCache>
                <c:ptCount val="1"/>
                <c:pt idx="0">
                  <c:v>Minnesota</c:v>
                </c:pt>
              </c:strCache>
            </c:strRef>
          </c:cat>
          <c:val>
            <c:numRef>
              <c:f>Sheet3!$B$5:$B$6</c:f>
              <c:numCache>
                <c:formatCode>General</c:formatCode>
                <c:ptCount val="1"/>
                <c:pt idx="0">
                  <c:v>4</c:v>
                </c:pt>
              </c:numCache>
            </c:numRef>
          </c:val>
          <c:extLst>
            <c:ext xmlns:c16="http://schemas.microsoft.com/office/drawing/2014/chart" uri="{C3380CC4-5D6E-409C-BE32-E72D297353CC}">
              <c16:uniqueId val="{00000022-2628-455C-9A69-B2C82ABDCC92}"/>
            </c:ext>
          </c:extLst>
        </c:ser>
        <c:dLbls>
          <c:showLegendKey val="0"/>
          <c:showVal val="0"/>
          <c:showCatName val="0"/>
          <c:showSerName val="0"/>
          <c:showPercent val="0"/>
          <c:showBubbleSize val="0"/>
        </c:dLbls>
        <c:gapWidth val="150"/>
        <c:shape val="box"/>
        <c:axId val="764789392"/>
        <c:axId val="764792272"/>
        <c:axId val="0"/>
      </c:bar3DChart>
      <c:catAx>
        <c:axId val="764789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92272"/>
        <c:crosses val="autoZero"/>
        <c:auto val="1"/>
        <c:lblAlgn val="ctr"/>
        <c:lblOffset val="100"/>
        <c:noMultiLvlLbl val="0"/>
      </c:catAx>
      <c:valAx>
        <c:axId val="76479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78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1CB-4591-9B8A-8E577CE5586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1CB-4591-9B8A-8E577CE5586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1CB-4591-9B8A-8E577CE55866}"/>
              </c:ext>
            </c:extLst>
          </c:dPt>
          <c:cat>
            <c:strLit>
              <c:ptCount val="3"/>
              <c:pt idx="0">
                <c:v>Billing Question</c:v>
              </c:pt>
              <c:pt idx="1">
                <c:v>Payments</c:v>
              </c:pt>
              <c:pt idx="2">
                <c:v>Service Outage</c:v>
              </c:pt>
            </c:strLit>
          </c:cat>
          <c:val>
            <c:numLit>
              <c:formatCode>General</c:formatCode>
              <c:ptCount val="3"/>
              <c:pt idx="0">
                <c:v>50</c:v>
              </c:pt>
              <c:pt idx="1">
                <c:v>12</c:v>
              </c:pt>
              <c:pt idx="2">
                <c:v>8</c:v>
              </c:pt>
            </c:numLit>
          </c:val>
          <c:extLst>
            <c:ext xmlns:c16="http://schemas.microsoft.com/office/drawing/2014/chart" uri="{C3380CC4-5D6E-409C-BE32-E72D297353CC}">
              <c16:uniqueId val="{00000006-B1CB-4591-9B8A-8E577CE5586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ofPieChart>
        <c:ofPieType val="pie"/>
        <c:varyColors val="1"/>
        <c:ser>
          <c:idx val="0"/>
          <c:order val="0"/>
          <c:tx>
            <c:v>Sum of CSAT Score</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CB5-4D1F-8B6C-1F3C0CB8D24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CB5-4D1F-8B6C-1F3C0CB8D24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6D0-4DA4-9CBE-8877BB8286F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Total</c:v>
              </c:pt>
            </c:strLit>
          </c:cat>
          <c:val>
            <c:numLit>
              <c:formatCode>General</c:formatCode>
              <c:ptCount val="2"/>
              <c:pt idx="0">
                <c:v>373</c:v>
              </c:pt>
              <c:pt idx="1">
                <c:v>373</c:v>
              </c:pt>
            </c:numLit>
          </c:val>
          <c:extLst>
            <c:ext xmlns:c16="http://schemas.microsoft.com/office/drawing/2014/chart" uri="{C3380CC4-5D6E-409C-BE32-E72D297353CC}">
              <c16:uniqueId val="{00000004-8CB5-4D1F-8B6C-1F3C0CB8D24A}"/>
            </c:ext>
          </c:extLst>
        </c:ser>
        <c:ser>
          <c:idx val="1"/>
          <c:order val="1"/>
          <c:tx>
            <c:v>Series2</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8CB5-4D1F-8B6C-1F3C0CB8D24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8CB5-4D1F-8B6C-1F3C0CB8D24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6D0-4DA4-9CBE-8877BB8286F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Total</c:v>
              </c:pt>
            </c:strLit>
          </c:cat>
          <c:val>
            <c:numLit>
              <c:formatCode>General</c:formatCode>
              <c:ptCount val="2"/>
              <c:pt idx="0">
                <c:v>1838</c:v>
              </c:pt>
              <c:pt idx="1">
                <c:v>1838</c:v>
              </c:pt>
            </c:numLit>
          </c:val>
          <c:extLst>
            <c:ext xmlns:c16="http://schemas.microsoft.com/office/drawing/2014/chart" uri="{C3380CC4-5D6E-409C-BE32-E72D297353CC}">
              <c16:uniqueId val="{00000009-8CB5-4D1F-8B6C-1F3C0CB8D24A}"/>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[Call-Center-Sentiment-Sample-Data.xlsx]Sheet3!PivotTable3</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Sheet3!$A$5:$A$6</c:f>
              <c:strCache>
                <c:ptCount val="1"/>
                <c:pt idx="0">
                  <c:v>Minnesota</c:v>
                </c:pt>
              </c:strCache>
            </c:strRef>
          </c:cat>
          <c:val>
            <c:numRef>
              <c:f>Sheet3!$B$5:$B$6</c:f>
              <c:numCache>
                <c:formatCode>General</c:formatCode>
                <c:ptCount val="1"/>
                <c:pt idx="0">
                  <c:v>4</c:v>
                </c:pt>
              </c:numCache>
            </c:numRef>
          </c:val>
          <c:extLst>
            <c:ext xmlns:c16="http://schemas.microsoft.com/office/drawing/2014/chart" uri="{C3380CC4-5D6E-409C-BE32-E72D297353CC}">
              <c16:uniqueId val="{00000022-495B-41A3-A55D-76E58A207221}"/>
            </c:ext>
          </c:extLst>
        </c:ser>
        <c:dLbls>
          <c:showLegendKey val="0"/>
          <c:showVal val="0"/>
          <c:showCatName val="0"/>
          <c:showSerName val="0"/>
          <c:showPercent val="0"/>
          <c:showBubbleSize val="0"/>
        </c:dLbls>
        <c:gapWidth val="65"/>
        <c:shape val="box"/>
        <c:axId val="764789392"/>
        <c:axId val="764792272"/>
        <c:axId val="0"/>
      </c:bar3DChart>
      <c:catAx>
        <c:axId val="7647893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64792272"/>
        <c:crosses val="autoZero"/>
        <c:auto val="1"/>
        <c:lblAlgn val="ctr"/>
        <c:lblOffset val="100"/>
        <c:noMultiLvlLbl val="0"/>
      </c:catAx>
      <c:valAx>
        <c:axId val="76479227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647893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3"/>
              <c:pt idx="0">
                <c:v>Above SLA</c:v>
              </c:pt>
              <c:pt idx="1">
                <c:v>Below SLA</c:v>
              </c:pt>
              <c:pt idx="2">
                <c:v>Within SLA</c:v>
              </c:pt>
            </c:strLit>
          </c:cat>
          <c:val>
            <c:numLit>
              <c:formatCode>General</c:formatCode>
              <c:ptCount val="3"/>
              <c:pt idx="0">
                <c:v>287</c:v>
              </c:pt>
              <c:pt idx="1">
                <c:v>286</c:v>
              </c:pt>
              <c:pt idx="2">
                <c:v>1265</c:v>
              </c:pt>
            </c:numLit>
          </c:val>
          <c:extLst>
            <c:ext xmlns:c16="http://schemas.microsoft.com/office/drawing/2014/chart" uri="{C3380CC4-5D6E-409C-BE32-E72D297353CC}">
              <c16:uniqueId val="{00000000-925C-4FF9-B1EE-D8E343BCC75D}"/>
            </c:ext>
          </c:extLst>
        </c:ser>
        <c:dLbls>
          <c:showLegendKey val="0"/>
          <c:showVal val="0"/>
          <c:showCatName val="0"/>
          <c:showSerName val="0"/>
          <c:showPercent val="0"/>
          <c:showBubbleSize val="0"/>
        </c:dLbls>
        <c:gapWidth val="65"/>
        <c:shape val="box"/>
        <c:axId val="1743528448"/>
        <c:axId val="1743528928"/>
        <c:axId val="0"/>
      </c:bar3DChart>
      <c:catAx>
        <c:axId val="174352844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43528928"/>
        <c:crosses val="autoZero"/>
        <c:auto val="1"/>
        <c:lblAlgn val="ctr"/>
        <c:lblOffset val="100"/>
        <c:noMultiLvlLbl val="0"/>
      </c:catAx>
      <c:valAx>
        <c:axId val="174352892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435284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6715266841644794"/>
          <c:y val="3.6089238845144378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
          <c:y val="0.2985433070866142"/>
          <c:w val="0.76416801656501343"/>
          <c:h val="0.584277022190408"/>
        </c:manualLayout>
      </c:layout>
      <c:ofPieChart>
        <c:ofPieType val="pie"/>
        <c:varyColors val="1"/>
        <c:ser>
          <c:idx val="0"/>
          <c:order val="0"/>
          <c:tx>
            <c:v>Sum of CSAT Score</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020-4EA0-B5DB-B7EED33E108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020-4EA0-B5DB-B7EED33E108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74E-4FE6-838C-E904D18847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Total</c:v>
              </c:pt>
            </c:strLit>
          </c:cat>
          <c:val>
            <c:numLit>
              <c:formatCode>General</c:formatCode>
              <c:ptCount val="2"/>
              <c:pt idx="0">
                <c:v>373</c:v>
              </c:pt>
              <c:pt idx="1">
                <c:v>373</c:v>
              </c:pt>
            </c:numLit>
          </c:val>
          <c:extLst>
            <c:ext xmlns:c16="http://schemas.microsoft.com/office/drawing/2014/chart" uri="{C3380CC4-5D6E-409C-BE32-E72D297353CC}">
              <c16:uniqueId val="{00000004-3020-4EA0-B5DB-B7EED33E1084}"/>
            </c:ext>
          </c:extLst>
        </c:ser>
        <c:ser>
          <c:idx val="1"/>
          <c:order val="1"/>
          <c:tx>
            <c:v>Series2</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3020-4EA0-B5DB-B7EED33E108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3020-4EA0-B5DB-B7EED33E108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74E-4FE6-838C-E904D18847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Total</c:v>
              </c:pt>
            </c:strLit>
          </c:cat>
          <c:val>
            <c:numLit>
              <c:formatCode>General</c:formatCode>
              <c:ptCount val="2"/>
              <c:pt idx="0">
                <c:v>1838</c:v>
              </c:pt>
              <c:pt idx="1">
                <c:v>1838</c:v>
              </c:pt>
            </c:numLit>
          </c:val>
          <c:extLst>
            <c:ext xmlns:c16="http://schemas.microsoft.com/office/drawing/2014/chart" uri="{C3380CC4-5D6E-409C-BE32-E72D297353CC}">
              <c16:uniqueId val="{00000009-3020-4EA0-B5DB-B7EED33E1084}"/>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3"/>
              <c:pt idx="0">
                <c:v>Above SLA</c:v>
              </c:pt>
              <c:pt idx="1">
                <c:v>Below SLA</c:v>
              </c:pt>
              <c:pt idx="2">
                <c:v>Within SLA</c:v>
              </c:pt>
            </c:strLit>
          </c:cat>
          <c:val>
            <c:numLit>
              <c:formatCode>General</c:formatCode>
              <c:ptCount val="3"/>
              <c:pt idx="0">
                <c:v>8</c:v>
              </c:pt>
              <c:pt idx="1">
                <c:v>9</c:v>
              </c:pt>
              <c:pt idx="2">
                <c:v>53</c:v>
              </c:pt>
            </c:numLit>
          </c:val>
          <c:extLst>
            <c:ext xmlns:c16="http://schemas.microsoft.com/office/drawing/2014/chart" uri="{C3380CC4-5D6E-409C-BE32-E72D297353CC}">
              <c16:uniqueId val="{00000000-899E-482C-9FDE-4BAF75D752E5}"/>
            </c:ext>
          </c:extLst>
        </c:ser>
        <c:dLbls>
          <c:showLegendKey val="0"/>
          <c:showVal val="0"/>
          <c:showCatName val="0"/>
          <c:showSerName val="0"/>
          <c:showPercent val="0"/>
          <c:showBubbleSize val="0"/>
        </c:dLbls>
        <c:gapWidth val="65"/>
        <c:shape val="box"/>
        <c:axId val="1735461808"/>
        <c:axId val="1735479568"/>
        <c:axId val="0"/>
      </c:bar3DChart>
      <c:catAx>
        <c:axId val="17354618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35479568"/>
        <c:crosses val="autoZero"/>
        <c:auto val="1"/>
        <c:lblAlgn val="ctr"/>
        <c:lblOffset val="100"/>
        <c:noMultiLvlLbl val="0"/>
      </c:catAx>
      <c:valAx>
        <c:axId val="173547956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354618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chart" Target="../charts/chart4.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133350</xdr:colOff>
      <xdr:row>0</xdr:row>
      <xdr:rowOff>161925</xdr:rowOff>
    </xdr:from>
    <xdr:to>
      <xdr:col>9</xdr:col>
      <xdr:colOff>6350</xdr:colOff>
      <xdr:row>16</xdr:row>
      <xdr:rowOff>161925</xdr:rowOff>
    </xdr:to>
    <xdr:graphicFrame macro="">
      <xdr:nvGraphicFramePr>
        <xdr:cNvPr id="2" name="Chart 1">
          <a:extLst>
            <a:ext uri="{FF2B5EF4-FFF2-40B4-BE49-F238E27FC236}">
              <a16:creationId xmlns:a16="http://schemas.microsoft.com/office/drawing/2014/main" id="{C92C8BBD-9BB7-228C-DB3B-12A0AF0D2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222250</xdr:colOff>
      <xdr:row>0</xdr:row>
      <xdr:rowOff>0</xdr:rowOff>
    </xdr:from>
    <xdr:to>
      <xdr:col>21</xdr:col>
      <xdr:colOff>209550</xdr:colOff>
      <xdr:row>15</xdr:row>
      <xdr:rowOff>44450</xdr:rowOff>
    </xdr:to>
    <xdr:graphicFrame macro="">
      <xdr:nvGraphicFramePr>
        <xdr:cNvPr id="4" name="Chart 3">
          <a:extLst>
            <a:ext uri="{FF2B5EF4-FFF2-40B4-BE49-F238E27FC236}">
              <a16:creationId xmlns:a16="http://schemas.microsoft.com/office/drawing/2014/main" id="{32419E0C-96E4-4BCC-AC71-87FC611C2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82551</xdr:colOff>
      <xdr:row>16</xdr:row>
      <xdr:rowOff>19050</xdr:rowOff>
    </xdr:from>
    <xdr:to>
      <xdr:col>25</xdr:col>
      <xdr:colOff>184151</xdr:colOff>
      <xdr:row>27</xdr:row>
      <xdr:rowOff>58265</xdr:rowOff>
    </xdr:to>
    <xdr:pic>
      <xdr:nvPicPr>
        <xdr:cNvPr id="5" name="Picture 4">
          <a:extLst>
            <a:ext uri="{FF2B5EF4-FFF2-40B4-BE49-F238E27FC236}">
              <a16:creationId xmlns:a16="http://schemas.microsoft.com/office/drawing/2014/main" id="{4C03115A-BE64-CF15-8C08-EE6E20664A4B}"/>
            </a:ext>
          </a:extLst>
        </xdr:cNvPr>
        <xdr:cNvPicPr>
          <a:picLocks noChangeAspect="1"/>
        </xdr:cNvPicPr>
      </xdr:nvPicPr>
      <xdr:blipFill>
        <a:blip xmlns:r="http://schemas.openxmlformats.org/officeDocument/2006/relationships" r:embed="rId3"/>
        <a:stretch>
          <a:fillRect/>
        </a:stretch>
      </xdr:blipFill>
      <xdr:spPr>
        <a:xfrm>
          <a:off x="5962651" y="2965450"/>
          <a:ext cx="3435350" cy="2064865"/>
        </a:xfrm>
        <a:prstGeom prst="rect">
          <a:avLst/>
        </a:prstGeom>
      </xdr:spPr>
    </xdr:pic>
    <xdr:clientData/>
  </xdr:twoCellAnchor>
  <xdr:twoCellAnchor>
    <xdr:from>
      <xdr:col>2</xdr:col>
      <xdr:colOff>361950</xdr:colOff>
      <xdr:row>18</xdr:row>
      <xdr:rowOff>101600</xdr:rowOff>
    </xdr:from>
    <xdr:to>
      <xdr:col>9</xdr:col>
      <xdr:colOff>152400</xdr:colOff>
      <xdr:row>30</xdr:row>
      <xdr:rowOff>82550</xdr:rowOff>
    </xdr:to>
    <xdr:graphicFrame macro="">
      <xdr:nvGraphicFramePr>
        <xdr:cNvPr id="7" name="Chart 6">
          <a:extLst>
            <a:ext uri="{FF2B5EF4-FFF2-40B4-BE49-F238E27FC236}">
              <a16:creationId xmlns:a16="http://schemas.microsoft.com/office/drawing/2014/main" id="{A595C4FD-FF05-4DC1-B312-BD08AC0C5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190500</xdr:colOff>
      <xdr:row>2</xdr:row>
      <xdr:rowOff>120651</xdr:rowOff>
    </xdr:from>
    <xdr:to>
      <xdr:col>32</xdr:col>
      <xdr:colOff>67321</xdr:colOff>
      <xdr:row>15</xdr:row>
      <xdr:rowOff>19051</xdr:rowOff>
    </xdr:to>
    <xdr:pic>
      <xdr:nvPicPr>
        <xdr:cNvPr id="8" name="Picture 7">
          <a:extLst>
            <a:ext uri="{FF2B5EF4-FFF2-40B4-BE49-F238E27FC236}">
              <a16:creationId xmlns:a16="http://schemas.microsoft.com/office/drawing/2014/main" id="{095A2F96-33FD-6785-2468-96D29CCDAF2C}"/>
            </a:ext>
          </a:extLst>
        </xdr:cNvPr>
        <xdr:cNvPicPr>
          <a:picLocks noChangeAspect="1"/>
        </xdr:cNvPicPr>
      </xdr:nvPicPr>
      <xdr:blipFill>
        <a:blip xmlns:r="http://schemas.openxmlformats.org/officeDocument/2006/relationships" r:embed="rId5"/>
        <a:stretch>
          <a:fillRect/>
        </a:stretch>
      </xdr:blipFill>
      <xdr:spPr>
        <a:xfrm>
          <a:off x="8890000" y="488951"/>
          <a:ext cx="3813821" cy="2292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101600</xdr:rowOff>
    </xdr:from>
    <xdr:to>
      <xdr:col>20</xdr:col>
      <xdr:colOff>203200</xdr:colOff>
      <xdr:row>40</xdr:row>
      <xdr:rowOff>144780</xdr:rowOff>
    </xdr:to>
    <xdr:grpSp>
      <xdr:nvGrpSpPr>
        <xdr:cNvPr id="18" name="Group 17">
          <a:extLst>
            <a:ext uri="{FF2B5EF4-FFF2-40B4-BE49-F238E27FC236}">
              <a16:creationId xmlns:a16="http://schemas.microsoft.com/office/drawing/2014/main" id="{67A984B5-06AB-E043-6C5E-DCA347E162EB}"/>
            </a:ext>
          </a:extLst>
        </xdr:cNvPr>
        <xdr:cNvGrpSpPr/>
      </xdr:nvGrpSpPr>
      <xdr:grpSpPr>
        <a:xfrm>
          <a:off x="0" y="127000"/>
          <a:ext cx="11798300" cy="7078980"/>
          <a:chOff x="146050" y="292100"/>
          <a:chExt cx="10204450" cy="6413500"/>
        </a:xfrm>
        <a:effectLst>
          <a:glow rad="25400">
            <a:schemeClr val="accent1"/>
          </a:glow>
        </a:effectLst>
      </xdr:grpSpPr>
      <xdr:sp macro="" textlink="">
        <xdr:nvSpPr>
          <xdr:cNvPr id="2" name="Rectangle 1">
            <a:extLst>
              <a:ext uri="{FF2B5EF4-FFF2-40B4-BE49-F238E27FC236}">
                <a16:creationId xmlns:a16="http://schemas.microsoft.com/office/drawing/2014/main" id="{C85E6825-C400-FBF4-38FA-AA55C2DB1808}"/>
              </a:ext>
            </a:extLst>
          </xdr:cNvPr>
          <xdr:cNvSpPr/>
        </xdr:nvSpPr>
        <xdr:spPr>
          <a:xfrm>
            <a:off x="165100" y="292100"/>
            <a:ext cx="10153650" cy="637540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FC491495-89DD-4A11-805A-F0C2B249C8E4}"/>
              </a:ext>
            </a:extLst>
          </xdr:cNvPr>
          <xdr:cNvSpPr/>
        </xdr:nvSpPr>
        <xdr:spPr>
          <a:xfrm>
            <a:off x="177800" y="298450"/>
            <a:ext cx="3460750" cy="636905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DCEBFE4E-CC16-4562-A177-70C084F23E16}"/>
              </a:ext>
            </a:extLst>
          </xdr:cNvPr>
          <xdr:cNvSpPr/>
        </xdr:nvSpPr>
        <xdr:spPr>
          <a:xfrm>
            <a:off x="3657600" y="317500"/>
            <a:ext cx="3460750" cy="636905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B85BE6BC-5269-434D-8203-F754BAE8FAED}"/>
              </a:ext>
            </a:extLst>
          </xdr:cNvPr>
          <xdr:cNvSpPr/>
        </xdr:nvSpPr>
        <xdr:spPr>
          <a:xfrm>
            <a:off x="7137400" y="317500"/>
            <a:ext cx="3181350" cy="638810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B4AD4B0A-C113-4D59-A8F0-88B4F8F213E6}"/>
              </a:ext>
            </a:extLst>
          </xdr:cNvPr>
          <xdr:cNvSpPr/>
        </xdr:nvSpPr>
        <xdr:spPr>
          <a:xfrm>
            <a:off x="7112000" y="1460500"/>
            <a:ext cx="3200400" cy="520700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37F82955-3ABD-413A-8E29-C2D24A6A2718}"/>
              </a:ext>
            </a:extLst>
          </xdr:cNvPr>
          <xdr:cNvSpPr/>
        </xdr:nvSpPr>
        <xdr:spPr>
          <a:xfrm>
            <a:off x="3638550" y="1460500"/>
            <a:ext cx="3505200" cy="520700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13" name="Rectangle 12">
            <a:extLst>
              <a:ext uri="{FF2B5EF4-FFF2-40B4-BE49-F238E27FC236}">
                <a16:creationId xmlns:a16="http://schemas.microsoft.com/office/drawing/2014/main" id="{4249BED2-2313-48C0-9B2D-B63289E65F3D}"/>
              </a:ext>
            </a:extLst>
          </xdr:cNvPr>
          <xdr:cNvSpPr/>
        </xdr:nvSpPr>
        <xdr:spPr>
          <a:xfrm>
            <a:off x="3651250" y="3949700"/>
            <a:ext cx="3448492" cy="273050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7BC2777E-E690-45D7-8B7E-3904A00972CE}"/>
              </a:ext>
            </a:extLst>
          </xdr:cNvPr>
          <xdr:cNvSpPr/>
        </xdr:nvSpPr>
        <xdr:spPr>
          <a:xfrm>
            <a:off x="7150100" y="3962400"/>
            <a:ext cx="3200400" cy="271145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B8BD005C-7574-491A-8D85-29577BB22EB0}"/>
              </a:ext>
            </a:extLst>
          </xdr:cNvPr>
          <xdr:cNvSpPr/>
        </xdr:nvSpPr>
        <xdr:spPr>
          <a:xfrm>
            <a:off x="146050" y="3962400"/>
            <a:ext cx="3460750" cy="273050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F3A67EAA-8AC2-4CFA-85A8-4619DE90F6C6}"/>
              </a:ext>
            </a:extLst>
          </xdr:cNvPr>
          <xdr:cNvSpPr/>
        </xdr:nvSpPr>
        <xdr:spPr>
          <a:xfrm>
            <a:off x="1803400" y="3949700"/>
            <a:ext cx="1860550" cy="271780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114300</xdr:colOff>
      <xdr:row>24</xdr:row>
      <xdr:rowOff>38100</xdr:rowOff>
    </xdr:from>
    <xdr:to>
      <xdr:col>7</xdr:col>
      <xdr:colOff>266700</xdr:colOff>
      <xdr:row>39</xdr:row>
      <xdr:rowOff>44450</xdr:rowOff>
    </xdr:to>
    <xdr:graphicFrame macro="">
      <xdr:nvGraphicFramePr>
        <xdr:cNvPr id="5" name="Chart 4">
          <a:extLst>
            <a:ext uri="{FF2B5EF4-FFF2-40B4-BE49-F238E27FC236}">
              <a16:creationId xmlns:a16="http://schemas.microsoft.com/office/drawing/2014/main" id="{48B4ADC1-A16A-40CA-9E99-4A6EA1801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463550</xdr:colOff>
      <xdr:row>10</xdr:row>
      <xdr:rowOff>95251</xdr:rowOff>
    </xdr:from>
    <xdr:to>
      <xdr:col>10</xdr:col>
      <xdr:colOff>539750</xdr:colOff>
      <xdr:row>15</xdr:row>
      <xdr:rowOff>152400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E681A91F-7412-1E78-CA09-D90E5C63A76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133850" y="1631951"/>
              <a:ext cx="1905000" cy="977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565150</xdr:colOff>
      <xdr:row>9</xdr:row>
      <xdr:rowOff>114301</xdr:rowOff>
    </xdr:from>
    <xdr:to>
      <xdr:col>14</xdr:col>
      <xdr:colOff>82550</xdr:colOff>
      <xdr:row>23</xdr:row>
      <xdr:rowOff>38100</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2994E852-745F-8AF2-1BC2-D3B5323AD77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064250" y="1466851"/>
              <a:ext cx="1955800" cy="2501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412750</xdr:colOff>
      <xdr:row>25</xdr:row>
      <xdr:rowOff>82550</xdr:rowOff>
    </xdr:from>
    <xdr:to>
      <xdr:col>13</xdr:col>
      <xdr:colOff>590550</xdr:colOff>
      <xdr:row>39</xdr:row>
      <xdr:rowOff>31750</xdr:rowOff>
    </xdr:to>
    <xdr:pic>
      <xdr:nvPicPr>
        <xdr:cNvPr id="19" name="Picture 18">
          <a:extLst>
            <a:ext uri="{FF2B5EF4-FFF2-40B4-BE49-F238E27FC236}">
              <a16:creationId xmlns:a16="http://schemas.microsoft.com/office/drawing/2014/main" id="{A0292C3C-2E22-4767-FD4E-90C54C7F0132}"/>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rightnessContrast bright="-20000"/>
                  </a14:imgEffect>
                </a14:imgLayer>
              </a14:imgProps>
            </a:ext>
          </a:extLst>
        </a:blip>
        <a:stretch>
          <a:fillRect/>
        </a:stretch>
      </xdr:blipFill>
      <xdr:spPr>
        <a:xfrm>
          <a:off x="4083050" y="4381500"/>
          <a:ext cx="3835400" cy="252730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1</xdr:col>
      <xdr:colOff>165100</xdr:colOff>
      <xdr:row>8</xdr:row>
      <xdr:rowOff>146050</xdr:rowOff>
    </xdr:from>
    <xdr:to>
      <xdr:col>7</xdr:col>
      <xdr:colOff>95250</xdr:colOff>
      <xdr:row>23</xdr:row>
      <xdr:rowOff>12700</xdr:rowOff>
    </xdr:to>
    <xdr:graphicFrame macro="">
      <xdr:nvGraphicFramePr>
        <xdr:cNvPr id="21" name="Chart 20">
          <a:extLst>
            <a:ext uri="{FF2B5EF4-FFF2-40B4-BE49-F238E27FC236}">
              <a16:creationId xmlns:a16="http://schemas.microsoft.com/office/drawing/2014/main" id="{811B4B36-CC16-44AA-81EF-4FBAD119B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431800</xdr:colOff>
      <xdr:row>24</xdr:row>
      <xdr:rowOff>158750</xdr:rowOff>
    </xdr:from>
    <xdr:to>
      <xdr:col>19</xdr:col>
      <xdr:colOff>514350</xdr:colOff>
      <xdr:row>40</xdr:row>
      <xdr:rowOff>25400</xdr:rowOff>
    </xdr:to>
    <xdr:graphicFrame macro="">
      <xdr:nvGraphicFramePr>
        <xdr:cNvPr id="23" name="Chart 22">
          <a:extLst>
            <a:ext uri="{FF2B5EF4-FFF2-40B4-BE49-F238E27FC236}">
              <a16:creationId xmlns:a16="http://schemas.microsoft.com/office/drawing/2014/main" id="{6D9D28A7-CD70-4529-B1AA-E85E0B279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285750</xdr:colOff>
      <xdr:row>10</xdr:row>
      <xdr:rowOff>19050</xdr:rowOff>
    </xdr:from>
    <xdr:to>
      <xdr:col>20</xdr:col>
      <xdr:colOff>12700</xdr:colOff>
      <xdr:row>22</xdr:row>
      <xdr:rowOff>152400</xdr:rowOff>
    </xdr:to>
    <xdr:graphicFrame macro="">
      <xdr:nvGraphicFramePr>
        <xdr:cNvPr id="24" name="Chart 23">
          <a:extLst>
            <a:ext uri="{FF2B5EF4-FFF2-40B4-BE49-F238E27FC236}">
              <a16:creationId xmlns:a16="http://schemas.microsoft.com/office/drawing/2014/main" id="{0ED424C7-379E-4227-A2B8-4795821F6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7</xdr:col>
      <xdr:colOff>546100</xdr:colOff>
      <xdr:row>3</xdr:row>
      <xdr:rowOff>114479</xdr:rowOff>
    </xdr:from>
    <xdr:ext cx="4013200" cy="895171"/>
    <xdr:sp macro="" textlink="">
      <xdr:nvSpPr>
        <xdr:cNvPr id="25" name="Rectangle 24">
          <a:extLst>
            <a:ext uri="{FF2B5EF4-FFF2-40B4-BE49-F238E27FC236}">
              <a16:creationId xmlns:a16="http://schemas.microsoft.com/office/drawing/2014/main" id="{7EB8DD8F-9234-DEEB-F90B-73D4CBE4A194}"/>
            </a:ext>
          </a:extLst>
        </xdr:cNvPr>
        <xdr:cNvSpPr/>
      </xdr:nvSpPr>
      <xdr:spPr>
        <a:xfrm>
          <a:off x="4521200" y="317679"/>
          <a:ext cx="4013200" cy="895171"/>
        </a:xfrm>
        <a:prstGeom prst="rect">
          <a:avLst/>
        </a:prstGeom>
        <a:noFill/>
      </xdr:spPr>
      <xdr:txBody>
        <a:bodyPr wrap="square" lIns="91440" tIns="45720" rIns="91440" bIns="45720">
          <a:noAutofit/>
        </a:bodyPr>
        <a:lstStyle/>
        <a:p>
          <a:pPr algn="ctr"/>
          <a:r>
            <a:rPr lang="en-US" sz="5400" b="1" cap="none" spc="0">
              <a:ln w="9525">
                <a:solidFill>
                  <a:schemeClr val="bg1"/>
                </a:solidFill>
                <a:prstDash val="solid"/>
              </a:ln>
              <a:solidFill>
                <a:schemeClr val="bg1"/>
              </a:solidFill>
              <a:effectLst>
                <a:outerShdw blurRad="12700" dist="38100" dir="2700000" algn="tl" rotWithShape="0">
                  <a:schemeClr val="bg1">
                    <a:lumMod val="50000"/>
                  </a:schemeClr>
                </a:outerShdw>
              </a:effectLst>
            </a:rPr>
            <a:t>Call</a:t>
          </a:r>
          <a:r>
            <a:rPr lang="en-US" sz="5400" b="1" cap="none" spc="0" baseline="0">
              <a:ln w="9525">
                <a:solidFill>
                  <a:schemeClr val="bg1"/>
                </a:solidFill>
                <a:prstDash val="solid"/>
              </a:ln>
              <a:solidFill>
                <a:schemeClr val="bg1"/>
              </a:solidFill>
              <a:effectLst>
                <a:outerShdw blurRad="12700" dist="38100" dir="2700000" algn="tl" rotWithShape="0">
                  <a:schemeClr val="bg1">
                    <a:lumMod val="50000"/>
                  </a:schemeClr>
                </a:outerShdw>
              </a:effectLst>
            </a:rPr>
            <a:t> Center</a:t>
          </a:r>
          <a:endParaRPr lang="en-US" sz="5400" b="1" cap="none" spc="0">
            <a:ln w="9525">
              <a:solidFill>
                <a:schemeClr val="bg1"/>
              </a:solidFill>
              <a:prstDash val="solid"/>
            </a:ln>
            <a:solidFill>
              <a:schemeClr val="bg1"/>
            </a:solidFill>
            <a:effectLst>
              <a:outerShdw blurRad="12700" dist="38100" dir="2700000" algn="tl" rotWithShape="0">
                <a:schemeClr val="bg1">
                  <a:lumMod val="50000"/>
                </a:schemeClr>
              </a:outerShdw>
            </a:effectLst>
          </a:endParaRPr>
        </a:p>
      </xdr:txBody>
    </xdr:sp>
    <xdr:clientData/>
  </xdr:oneCellAnchor>
  <xdr:oneCellAnchor>
    <xdr:from>
      <xdr:col>14</xdr:col>
      <xdr:colOff>514350</xdr:colOff>
      <xdr:row>4</xdr:row>
      <xdr:rowOff>69850</xdr:rowOff>
    </xdr:from>
    <xdr:ext cx="3079750" cy="264560"/>
    <xdr:sp macro="" textlink="">
      <xdr:nvSpPr>
        <xdr:cNvPr id="29" name="TextBox 28">
          <a:extLst>
            <a:ext uri="{FF2B5EF4-FFF2-40B4-BE49-F238E27FC236}">
              <a16:creationId xmlns:a16="http://schemas.microsoft.com/office/drawing/2014/main" id="{2898D76D-CAEC-8948-5E5B-D60663588B2C}"/>
            </a:ext>
          </a:extLst>
        </xdr:cNvPr>
        <xdr:cNvSpPr txBox="1"/>
      </xdr:nvSpPr>
      <xdr:spPr>
        <a:xfrm>
          <a:off x="8451850" y="463550"/>
          <a:ext cx="30797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ZBOOK 15 G3" refreshedDate="45943.324415856485" createdVersion="8" refreshedVersion="8" minRefreshableVersion="3" recordCount="70" xr:uid="{6550276A-8743-4401-B3C7-1036D7B92472}">
  <cacheSource type="worksheet">
    <worksheetSource ref="B6:N76" sheet="Call Center Data"/>
  </cacheSource>
  <cacheFields count="13">
    <cacheField name="ID" numFmtId="0">
      <sharedItems count="70">
        <s v="PIS-39858047"/>
        <s v="ROH-40287216"/>
        <s v="NKC-39578431"/>
        <s v="APY-17008648"/>
        <s v="MHK-38443501"/>
        <s v="QKL-49133006"/>
        <s v="ZPZ-31710059"/>
        <s v="IJF-13083880"/>
        <s v="ZKW-68562847"/>
        <s v="NIL-47926257"/>
        <s v="BPQ-80812775"/>
        <s v="ZOK-34480332"/>
        <s v="ZMB-79323804"/>
        <s v="YYO-56445305"/>
        <s v="JYD-67455825"/>
        <s v="KNO-93249512"/>
        <s v="VFG-63863025"/>
        <s v="UCT-41608771"/>
        <s v="YLF-83918836"/>
        <s v="QCH-83950486"/>
        <s v="PDB-14404239"/>
        <s v="LFZ-17229282"/>
        <s v="VKV-67119644"/>
        <s v="PBY-32667898"/>
        <s v="EWI-18960031"/>
        <s v="IYX-48770048"/>
        <s v="EVO-87671386"/>
        <s v="ZYX-10467563"/>
        <s v="DZU-03236134"/>
        <s v="CAZ-10660311"/>
        <s v="ESF-57588548"/>
        <s v="WKS-55916097"/>
        <s v="OHX-59443580"/>
        <s v="TLA-11600824"/>
        <s v="YPB-82095843"/>
        <s v="LZU-62237096"/>
        <s v="XCX-53374693"/>
        <s v="PJL-11752230"/>
        <s v="MFC-52269149"/>
        <s v="TQC-88855863"/>
        <s v="FGR-90006976"/>
        <s v="PAT-23706620"/>
        <s v="XRX-56871498"/>
        <s v="BYM-24034403"/>
        <s v="TNK-37391425"/>
        <s v="JJM-32557838"/>
        <s v="KWC-18652469"/>
        <s v="GCS-45015293"/>
        <s v="IZX-08099835"/>
        <s v="TPZ-92635583"/>
        <s v="JOT-87331404"/>
        <s v="OKK-04567923"/>
        <s v="TCX-30032546"/>
        <s v="HMX-04214019"/>
        <s v="SYU-34524338"/>
        <s v="GBF-72465641"/>
        <s v="FMF-68865737"/>
        <s v="WMA-45712668"/>
        <s v="VEC-69408692"/>
        <s v="MBN-58485152"/>
        <s v="VBY-78584211"/>
        <s v="WSO-69134806"/>
        <s v="MYP-30178430"/>
        <s v="FRU-31409409"/>
        <s v="VMZ-59696572"/>
        <s v="JCE-87896568"/>
        <s v="GZL-83273642"/>
        <s v="YHK-31842577"/>
        <s v="BGA-81071725"/>
        <s v="CRQ-64410572"/>
      </sharedItems>
    </cacheField>
    <cacheField name="Customer Name" numFmtId="0">
      <sharedItems/>
    </cacheField>
    <cacheField name="Sentiment" numFmtId="0">
      <sharedItems count="5">
        <s v="Neutral"/>
        <s v="Negative"/>
        <s v="Very Negative"/>
        <s v="Positive"/>
        <s v="Very Positive"/>
      </sharedItems>
    </cacheField>
    <cacheField name="CSAT Score" numFmtId="0">
      <sharedItems containsSemiMixedTypes="0" containsString="0" containsNumber="1" containsInteger="1" minValue="1" maxValue="10"/>
    </cacheField>
    <cacheField name="Call Timestamp" numFmtId="14">
      <sharedItems containsSemiMixedTypes="0" containsNonDate="0" containsDate="1" containsString="0" minDate="2024-01-01T00:00:00" maxDate="2024-02-01T00:00:00"/>
    </cacheField>
    <cacheField name="Reason" numFmtId="0">
      <sharedItems count="3">
        <s v="Billing Question"/>
        <s v="Payments"/>
        <s v="Service Outage"/>
      </sharedItems>
    </cacheField>
    <cacheField name="City" numFmtId="0">
      <sharedItems count="57">
        <s v="Charleston"/>
        <s v="Honolulu"/>
        <s v="Dallas"/>
        <s v="Fort Myers"/>
        <s v="Tuscaloosa"/>
        <s v="Pensacola"/>
        <s v="Little Rock"/>
        <s v="Nashville"/>
        <s v="El Paso"/>
        <s v="Santa Ana"/>
        <s v="Huntington"/>
        <s v="Pittsburgh"/>
        <s v="Tucson"/>
        <s v="Des Moines"/>
        <s v="San Francisco"/>
        <s v="Lansing"/>
        <s v="Washington"/>
        <s v="New York City"/>
        <s v="Madison"/>
        <s v="Fort Pierce"/>
        <s v="Lubbock"/>
        <s v="Stockton"/>
        <s v="Corpus Christi"/>
        <s v="Minneapolis"/>
        <s v="Colorado Springs"/>
        <s v="Abilene"/>
        <s v="Fort Lauderdale"/>
        <s v="Shawnee Mission"/>
        <s v="Gainesville"/>
        <s v="Erie"/>
        <s v="Houston"/>
        <s v="Saint Paul"/>
        <s v="Fort Worth"/>
        <s v="Salt Lake City"/>
        <s v="South Lake Tahoe"/>
        <s v="Montgomery"/>
        <s v="Providence"/>
        <s v="Richmond"/>
        <s v="Johnstown"/>
        <s v="Bronx"/>
        <s v="Las Vegas"/>
        <s v="Pasadena"/>
        <s v="Sacramento"/>
        <s v="Chicago"/>
        <s v="Fort Wayne"/>
        <s v="Kansas City"/>
        <s v="Long Beach"/>
        <s v="Baton Rouge"/>
        <s v="Naperville"/>
        <s v="Evansville"/>
        <s v="Rockford"/>
        <s v="Harrisburg"/>
        <s v="Reno"/>
        <s v="Bloomington"/>
        <s v="Katy"/>
        <s v="Concord"/>
        <s v="Columbus"/>
      </sharedItems>
    </cacheField>
    <cacheField name="State" numFmtId="0">
      <sharedItems count="29">
        <s v="West Virginia"/>
        <s v="Hawaii"/>
        <s v="Texas"/>
        <s v="Florida"/>
        <s v="Alabama"/>
        <s v="South Carolina"/>
        <s v="Arkansas"/>
        <s v="Tennessee"/>
        <s v="California"/>
        <s v="Pennsylvania"/>
        <s v="Arizona"/>
        <s v="Iowa"/>
        <s v="Michigan"/>
        <s v="District of Columbia"/>
        <s v="New York"/>
        <s v="Wisconsin"/>
        <s v="Minnesota"/>
        <s v="Colorado"/>
        <s v="Kansas"/>
        <s v="Utah"/>
        <s v="Rhode Island"/>
        <s v="Virginia"/>
        <s v="Nevada"/>
        <s v="Illinois"/>
        <s v="Indiana"/>
        <s v="Missouri"/>
        <s v="Louisiana"/>
        <s v="Ohio"/>
        <s v="Georgia"/>
      </sharedItems>
    </cacheField>
    <cacheField name="Channel" numFmtId="0">
      <sharedItems count="4">
        <s v="Chatbot"/>
        <s v="Call-Center"/>
        <s v="Email"/>
        <s v="Web"/>
      </sharedItems>
    </cacheField>
    <cacheField name="Response Time" numFmtId="0">
      <sharedItems count="3">
        <s v="Within SLA"/>
        <s v="Below SLA"/>
        <s v="Above SLA"/>
      </sharedItems>
    </cacheField>
    <cacheField name="Call Duration (Minutes)" numFmtId="0">
      <sharedItems containsSemiMixedTypes="0" containsString="0" containsNumber="1" containsInteger="1" minValue="6" maxValue="45" count="34">
        <n v="14"/>
        <n v="32"/>
        <n v="6"/>
        <n v="26"/>
        <n v="9"/>
        <n v="15"/>
        <n v="12"/>
        <n v="42"/>
        <n v="44"/>
        <n v="29"/>
        <n v="35"/>
        <n v="30"/>
        <n v="8"/>
        <n v="20"/>
        <n v="31"/>
        <n v="39"/>
        <n v="38"/>
        <n v="41"/>
        <n v="7"/>
        <n v="34"/>
        <n v="36"/>
        <n v="17"/>
        <n v="25"/>
        <n v="43"/>
        <n v="27"/>
        <n v="13"/>
        <n v="22"/>
        <n v="18"/>
        <n v="23"/>
        <n v="37"/>
        <n v="10"/>
        <n v="45"/>
        <n v="33"/>
        <n v="19"/>
      </sharedItems>
    </cacheField>
    <cacheField name="Call Center" numFmtId="0">
      <sharedItems count="4">
        <s v="Chicago/IL"/>
        <s v="Los Angeles/CA"/>
        <s v="Denver/CO"/>
        <s v="Baltimore/MD"/>
      </sharedItems>
    </cacheField>
    <cacheField name="Gender" numFmtId="14">
      <sharedItems count="2">
        <s v="female "/>
        <s v="male"/>
      </sharedItems>
    </cacheField>
  </cacheFields>
  <extLst>
    <ext xmlns:x14="http://schemas.microsoft.com/office/spreadsheetml/2009/9/main" uri="{725AE2AE-9491-48be-B2B4-4EB974FC3084}">
      <x14:pivotCacheDefinition pivotCacheId="18549405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ZBOOK 15 G3" refreshedDate="45943.343587847223" backgroundQuery="1" createdVersion="8" refreshedVersion="8" minRefreshableVersion="3" recordCount="0" supportSubquery="1" supportAdvancedDrill="1" xr:uid="{6A033E2B-02B1-4CB1-A2AB-9860680D2AC8}">
  <cacheSource type="external" connectionId="1"/>
  <cacheFields count="2">
    <cacheField name="[Measures].[Sum of CSAT Score]" caption="Sum of CSAT Score" numFmtId="0" hierarchy="15" level="32767"/>
    <cacheField name="[Measures].[Sum of Call Duration (Minutes)]" caption="Sum of Call Duration (Minutes)" numFmtId="0" hierarchy="16" level="32767"/>
  </cacheFields>
  <cacheHierarchies count="18">
    <cacheHierarchy uniqueName="[Range].[ID]" caption="ID" attribute="1" defaultMemberUniqueName="[Range].[ID].[All]" allUniqueName="[Range].[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ntiment]" caption="Sentiment" attribute="1" defaultMemberUniqueName="[Range].[Sentiment].[All]" allUniqueName="[Range].[Sentiment].[All]" dimensionUniqueName="[Range]" displayFolder="" count="0" memberValueDatatype="130" unbalanced="0"/>
    <cacheHierarchy uniqueName="[Range].[CSAT Score]" caption="CSAT Score" attribute="1" defaultMemberUniqueName="[Range].[CSAT Score].[All]" allUniqueName="[Range].[CSAT Score].[All]" dimensionUniqueName="[Range]" displayFolder="" count="0" memberValueDatatype="20" unbalanced="0"/>
    <cacheHierarchy uniqueName="[Range].[Call Timestamp]" caption="Call Timestamp" attribute="1" time="1" defaultMemberUniqueName="[Range].[Call Timestamp].[All]" allUniqueName="[Range].[Call Timestamp].[All]" dimensionUniqueName="[Range]" displayFolder="" count="0" memberValueDatatype="7" unbalanced="0"/>
    <cacheHierarchy uniqueName="[Range].[Reason]" caption="Reason" attribute="1" defaultMemberUniqueName="[Range].[Reason].[All]" allUniqueName="[Range].[Reas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hannel]" caption="Channel" attribute="1" defaultMemberUniqueName="[Range].[Channel].[All]" allUniqueName="[Range].[Channel].[All]" dimensionUniqueName="[Range]" displayFolder="" count="0" memberValueDatatype="130" unbalanced="0"/>
    <cacheHierarchy uniqueName="[Range].[Response Time]" caption="Response Time" attribute="1" defaultMemberUniqueName="[Range].[Response Time].[All]" allUniqueName="[Range].[Response Time].[All]" dimensionUniqueName="[Range]" displayFolder="" count="0" memberValueDatatype="130" unbalanced="0"/>
    <cacheHierarchy uniqueName="[Range].[Call Duration (Minutes)]" caption="Call Duration (Minutes)" attribute="1" defaultMemberUniqueName="[Range].[Call Duration (Minutes)].[All]" allUniqueName="[Range].[Call Duration (Minutes)].[All]" dimensionUniqueName="[Range]" displayFolder="" count="0" memberValueDatatype="20" unbalanced="0"/>
    <cacheHierarchy uniqueName="[Range].[Call Center]" caption="Call Center" attribute="1" defaultMemberUniqueName="[Range].[Call Center].[All]" allUniqueName="[Range].[Call Center].[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SAT Score]" caption="Sum of CSAT Score"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Call Duration (Minutes)]" caption="Sum of Call Duration (Minut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Sentiment]" caption="Count of Sentiment"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s v="Frances Gullefant"/>
    <x v="0"/>
    <n v="8"/>
    <d v="2024-01-01T00:00:00"/>
    <x v="0"/>
    <x v="0"/>
    <x v="0"/>
    <x v="0"/>
    <x v="0"/>
    <x v="0"/>
    <x v="0"/>
    <x v="0"/>
  </r>
  <r>
    <x v="1"/>
    <s v="Harcourt Zoanetti"/>
    <x v="1"/>
    <n v="5"/>
    <d v="2024-01-01T00:00:00"/>
    <x v="0"/>
    <x v="1"/>
    <x v="1"/>
    <x v="1"/>
    <x v="0"/>
    <x v="1"/>
    <x v="1"/>
    <x v="0"/>
  </r>
  <r>
    <x v="2"/>
    <s v="Washington Oxteby"/>
    <x v="1"/>
    <n v="3"/>
    <d v="2024-01-02T00:00:00"/>
    <x v="0"/>
    <x v="2"/>
    <x v="2"/>
    <x v="0"/>
    <x v="0"/>
    <x v="2"/>
    <x v="2"/>
    <x v="0"/>
  </r>
  <r>
    <x v="3"/>
    <s v="Rafe Duffitt"/>
    <x v="2"/>
    <n v="4"/>
    <d v="2024-01-02T00:00:00"/>
    <x v="0"/>
    <x v="3"/>
    <x v="3"/>
    <x v="2"/>
    <x v="1"/>
    <x v="3"/>
    <x v="1"/>
    <x v="0"/>
  </r>
  <r>
    <x v="4"/>
    <s v="Tris Bent"/>
    <x v="3"/>
    <n v="8"/>
    <d v="2024-01-02T00:00:00"/>
    <x v="0"/>
    <x v="4"/>
    <x v="4"/>
    <x v="3"/>
    <x v="0"/>
    <x v="3"/>
    <x v="1"/>
    <x v="0"/>
  </r>
  <r>
    <x v="5"/>
    <s v="Kassie Elman"/>
    <x v="2"/>
    <n v="4"/>
    <d v="2024-01-03T00:00:00"/>
    <x v="0"/>
    <x v="0"/>
    <x v="5"/>
    <x v="3"/>
    <x v="0"/>
    <x v="2"/>
    <x v="3"/>
    <x v="0"/>
  </r>
  <r>
    <x v="6"/>
    <s v="Elbertina Hewins"/>
    <x v="4"/>
    <n v="10"/>
    <d v="2024-01-03T00:00:00"/>
    <x v="1"/>
    <x v="5"/>
    <x v="3"/>
    <x v="1"/>
    <x v="0"/>
    <x v="4"/>
    <x v="1"/>
    <x v="0"/>
  </r>
  <r>
    <x v="7"/>
    <s v="Garland Chuney"/>
    <x v="1"/>
    <n v="3"/>
    <d v="2024-01-04T00:00:00"/>
    <x v="0"/>
    <x v="6"/>
    <x v="6"/>
    <x v="1"/>
    <x v="0"/>
    <x v="5"/>
    <x v="3"/>
    <x v="0"/>
  </r>
  <r>
    <x v="8"/>
    <s v="Caroljean Bischop"/>
    <x v="1"/>
    <n v="3"/>
    <d v="2024-01-04T00:00:00"/>
    <x v="0"/>
    <x v="7"/>
    <x v="7"/>
    <x v="3"/>
    <x v="0"/>
    <x v="6"/>
    <x v="1"/>
    <x v="0"/>
  </r>
  <r>
    <x v="9"/>
    <s v="Delmor McKleod"/>
    <x v="1"/>
    <n v="6"/>
    <d v="2024-01-05T00:00:00"/>
    <x v="0"/>
    <x v="8"/>
    <x v="2"/>
    <x v="3"/>
    <x v="0"/>
    <x v="7"/>
    <x v="1"/>
    <x v="0"/>
  </r>
  <r>
    <x v="10"/>
    <s v="Julee O'Gavin"/>
    <x v="1"/>
    <n v="3"/>
    <d v="2024-01-05T00:00:00"/>
    <x v="0"/>
    <x v="9"/>
    <x v="8"/>
    <x v="0"/>
    <x v="2"/>
    <x v="8"/>
    <x v="3"/>
    <x v="0"/>
  </r>
  <r>
    <x v="11"/>
    <s v="Jaye Gribbon"/>
    <x v="0"/>
    <n v="7"/>
    <d v="2024-01-06T00:00:00"/>
    <x v="0"/>
    <x v="10"/>
    <x v="0"/>
    <x v="0"/>
    <x v="0"/>
    <x v="9"/>
    <x v="3"/>
    <x v="0"/>
  </r>
  <r>
    <x v="12"/>
    <s v="Brodie Dobrowski"/>
    <x v="1"/>
    <n v="5"/>
    <d v="2024-01-06T00:00:00"/>
    <x v="0"/>
    <x v="11"/>
    <x v="9"/>
    <x v="0"/>
    <x v="0"/>
    <x v="10"/>
    <x v="3"/>
    <x v="0"/>
  </r>
  <r>
    <x v="13"/>
    <s v="Sibylla Kemet"/>
    <x v="2"/>
    <n v="2"/>
    <d v="2024-01-07T00:00:00"/>
    <x v="0"/>
    <x v="12"/>
    <x v="10"/>
    <x v="3"/>
    <x v="0"/>
    <x v="11"/>
    <x v="1"/>
    <x v="0"/>
  </r>
  <r>
    <x v="14"/>
    <s v="Quintilla Hourston"/>
    <x v="1"/>
    <n v="6"/>
    <d v="2024-01-07T00:00:00"/>
    <x v="1"/>
    <x v="13"/>
    <x v="11"/>
    <x v="1"/>
    <x v="0"/>
    <x v="9"/>
    <x v="1"/>
    <x v="0"/>
  </r>
  <r>
    <x v="15"/>
    <s v="Maggi Simpson"/>
    <x v="3"/>
    <n v="9"/>
    <d v="2024-01-08T00:00:00"/>
    <x v="1"/>
    <x v="14"/>
    <x v="8"/>
    <x v="1"/>
    <x v="0"/>
    <x v="4"/>
    <x v="3"/>
    <x v="0"/>
  </r>
  <r>
    <x v="16"/>
    <s v="Early Andrassy"/>
    <x v="4"/>
    <n v="9"/>
    <d v="2024-01-08T00:00:00"/>
    <x v="0"/>
    <x v="15"/>
    <x v="12"/>
    <x v="0"/>
    <x v="0"/>
    <x v="12"/>
    <x v="1"/>
    <x v="0"/>
  </r>
  <r>
    <x v="17"/>
    <s v="Ettie Ruoff"/>
    <x v="2"/>
    <n v="3"/>
    <d v="2024-01-08T00:00:00"/>
    <x v="0"/>
    <x v="16"/>
    <x v="13"/>
    <x v="0"/>
    <x v="2"/>
    <x v="10"/>
    <x v="0"/>
    <x v="0"/>
  </r>
  <r>
    <x v="18"/>
    <s v="Bogey McReath"/>
    <x v="3"/>
    <n v="7"/>
    <d v="2024-01-08T00:00:00"/>
    <x v="0"/>
    <x v="17"/>
    <x v="14"/>
    <x v="3"/>
    <x v="0"/>
    <x v="13"/>
    <x v="3"/>
    <x v="0"/>
  </r>
  <r>
    <x v="19"/>
    <s v="Sephira Philippart"/>
    <x v="1"/>
    <n v="3"/>
    <d v="2024-01-09T00:00:00"/>
    <x v="0"/>
    <x v="18"/>
    <x v="15"/>
    <x v="3"/>
    <x v="0"/>
    <x v="14"/>
    <x v="1"/>
    <x v="0"/>
  </r>
  <r>
    <x v="20"/>
    <s v="Charles Sandison"/>
    <x v="0"/>
    <n v="5"/>
    <d v="2024-01-09T00:00:00"/>
    <x v="0"/>
    <x v="19"/>
    <x v="3"/>
    <x v="2"/>
    <x v="1"/>
    <x v="15"/>
    <x v="1"/>
    <x v="0"/>
  </r>
  <r>
    <x v="21"/>
    <s v="Zora Keelin"/>
    <x v="1"/>
    <n v="3"/>
    <d v="2024-01-10T00:00:00"/>
    <x v="0"/>
    <x v="20"/>
    <x v="2"/>
    <x v="1"/>
    <x v="0"/>
    <x v="16"/>
    <x v="2"/>
    <x v="0"/>
  </r>
  <r>
    <x v="22"/>
    <s v="Lillis Dewhurst"/>
    <x v="1"/>
    <n v="4"/>
    <d v="2024-01-10T00:00:00"/>
    <x v="0"/>
    <x v="21"/>
    <x v="8"/>
    <x v="1"/>
    <x v="2"/>
    <x v="8"/>
    <x v="2"/>
    <x v="1"/>
  </r>
  <r>
    <x v="23"/>
    <s v="Luz Gudgeon"/>
    <x v="2"/>
    <n v="4"/>
    <d v="2024-01-11T00:00:00"/>
    <x v="2"/>
    <x v="22"/>
    <x v="2"/>
    <x v="0"/>
    <x v="0"/>
    <x v="17"/>
    <x v="0"/>
    <x v="1"/>
  </r>
  <r>
    <x v="24"/>
    <s v="Abigale Morgan"/>
    <x v="2"/>
    <n v="4"/>
    <d v="2024-01-11T00:00:00"/>
    <x v="0"/>
    <x v="23"/>
    <x v="16"/>
    <x v="0"/>
    <x v="0"/>
    <x v="18"/>
    <x v="3"/>
    <x v="1"/>
  </r>
  <r>
    <x v="25"/>
    <s v="Minette Muzzillo"/>
    <x v="2"/>
    <n v="4"/>
    <d v="2024-01-12T00:00:00"/>
    <x v="0"/>
    <x v="24"/>
    <x v="17"/>
    <x v="2"/>
    <x v="0"/>
    <x v="19"/>
    <x v="1"/>
    <x v="1"/>
  </r>
  <r>
    <x v="26"/>
    <s v="Nanon FitzGilbert"/>
    <x v="4"/>
    <n v="10"/>
    <d v="2024-01-12T00:00:00"/>
    <x v="0"/>
    <x v="25"/>
    <x v="2"/>
    <x v="3"/>
    <x v="1"/>
    <x v="20"/>
    <x v="1"/>
    <x v="1"/>
  </r>
  <r>
    <x v="27"/>
    <s v="Ginelle Olver"/>
    <x v="0"/>
    <n v="8"/>
    <d v="2024-01-13T00:00:00"/>
    <x v="0"/>
    <x v="26"/>
    <x v="3"/>
    <x v="1"/>
    <x v="0"/>
    <x v="4"/>
    <x v="0"/>
    <x v="1"/>
  </r>
  <r>
    <x v="28"/>
    <s v="Tricia Kinnie"/>
    <x v="1"/>
    <n v="6"/>
    <d v="2024-01-13T00:00:00"/>
    <x v="0"/>
    <x v="27"/>
    <x v="18"/>
    <x v="1"/>
    <x v="0"/>
    <x v="15"/>
    <x v="3"/>
    <x v="1"/>
  </r>
  <r>
    <x v="29"/>
    <s v="Kristoforo Burnell"/>
    <x v="3"/>
    <n v="7"/>
    <d v="2024-01-14T00:00:00"/>
    <x v="0"/>
    <x v="28"/>
    <x v="3"/>
    <x v="2"/>
    <x v="0"/>
    <x v="21"/>
    <x v="1"/>
    <x v="1"/>
  </r>
  <r>
    <x v="30"/>
    <s v="Dulsea Pendry"/>
    <x v="4"/>
    <n v="10"/>
    <d v="2024-01-14T00:00:00"/>
    <x v="0"/>
    <x v="29"/>
    <x v="9"/>
    <x v="3"/>
    <x v="0"/>
    <x v="3"/>
    <x v="1"/>
    <x v="1"/>
  </r>
  <r>
    <x v="31"/>
    <s v="Alberik Jacques"/>
    <x v="0"/>
    <n v="6"/>
    <d v="2024-01-15T00:00:00"/>
    <x v="2"/>
    <x v="30"/>
    <x v="2"/>
    <x v="0"/>
    <x v="1"/>
    <x v="10"/>
    <x v="3"/>
    <x v="1"/>
  </r>
  <r>
    <x v="32"/>
    <s v="Banky Falla"/>
    <x v="1"/>
    <n v="5"/>
    <d v="2024-01-15T00:00:00"/>
    <x v="1"/>
    <x v="31"/>
    <x v="16"/>
    <x v="1"/>
    <x v="1"/>
    <x v="22"/>
    <x v="0"/>
    <x v="1"/>
  </r>
  <r>
    <x v="33"/>
    <s v="Ganny Crampsy"/>
    <x v="1"/>
    <n v="3"/>
    <d v="2024-01-16T00:00:00"/>
    <x v="2"/>
    <x v="23"/>
    <x v="16"/>
    <x v="0"/>
    <x v="0"/>
    <x v="10"/>
    <x v="0"/>
    <x v="1"/>
  </r>
  <r>
    <x v="34"/>
    <s v="Shari Adrienne"/>
    <x v="1"/>
    <n v="3"/>
    <d v="2024-01-16T00:00:00"/>
    <x v="0"/>
    <x v="32"/>
    <x v="2"/>
    <x v="1"/>
    <x v="0"/>
    <x v="16"/>
    <x v="3"/>
    <x v="1"/>
  </r>
  <r>
    <x v="35"/>
    <s v="Charo Aisbett"/>
    <x v="1"/>
    <n v="3"/>
    <d v="2024-01-17T00:00:00"/>
    <x v="0"/>
    <x v="33"/>
    <x v="19"/>
    <x v="3"/>
    <x v="1"/>
    <x v="0"/>
    <x v="1"/>
    <x v="1"/>
  </r>
  <r>
    <x v="36"/>
    <s v="Francyne Hagergham"/>
    <x v="1"/>
    <n v="6"/>
    <d v="2024-01-17T00:00:00"/>
    <x v="0"/>
    <x v="9"/>
    <x v="8"/>
    <x v="3"/>
    <x v="0"/>
    <x v="23"/>
    <x v="1"/>
    <x v="1"/>
  </r>
  <r>
    <x v="37"/>
    <s v="Lindsay Bubb"/>
    <x v="4"/>
    <n v="9"/>
    <d v="2024-01-18T00:00:00"/>
    <x v="0"/>
    <x v="34"/>
    <x v="8"/>
    <x v="1"/>
    <x v="0"/>
    <x v="23"/>
    <x v="1"/>
    <x v="1"/>
  </r>
  <r>
    <x v="38"/>
    <s v="Roobbie Pickervance"/>
    <x v="0"/>
    <n v="6"/>
    <d v="2024-01-18T00:00:00"/>
    <x v="0"/>
    <x v="35"/>
    <x v="4"/>
    <x v="3"/>
    <x v="0"/>
    <x v="2"/>
    <x v="3"/>
    <x v="0"/>
  </r>
  <r>
    <x v="39"/>
    <s v="Erminia Lummasana"/>
    <x v="3"/>
    <n v="7"/>
    <d v="2024-01-19T00:00:00"/>
    <x v="0"/>
    <x v="36"/>
    <x v="20"/>
    <x v="2"/>
    <x v="1"/>
    <x v="17"/>
    <x v="1"/>
    <x v="0"/>
  </r>
  <r>
    <x v="40"/>
    <s v="Ariel Pittendreigh"/>
    <x v="1"/>
    <n v="4"/>
    <d v="2024-01-19T00:00:00"/>
    <x v="1"/>
    <x v="37"/>
    <x v="21"/>
    <x v="1"/>
    <x v="0"/>
    <x v="24"/>
    <x v="3"/>
    <x v="0"/>
  </r>
  <r>
    <x v="41"/>
    <s v="Rudie Tomsen"/>
    <x v="3"/>
    <n v="7"/>
    <d v="2024-01-20T00:00:00"/>
    <x v="1"/>
    <x v="38"/>
    <x v="9"/>
    <x v="1"/>
    <x v="0"/>
    <x v="4"/>
    <x v="1"/>
    <x v="0"/>
  </r>
  <r>
    <x v="42"/>
    <s v="Alric Scrane"/>
    <x v="2"/>
    <n v="4"/>
    <d v="2024-01-20T00:00:00"/>
    <x v="1"/>
    <x v="16"/>
    <x v="13"/>
    <x v="1"/>
    <x v="0"/>
    <x v="11"/>
    <x v="1"/>
    <x v="0"/>
  </r>
  <r>
    <x v="43"/>
    <s v="Eyde Djurevic"/>
    <x v="2"/>
    <n v="2"/>
    <d v="2024-01-21T00:00:00"/>
    <x v="0"/>
    <x v="39"/>
    <x v="14"/>
    <x v="0"/>
    <x v="2"/>
    <x v="20"/>
    <x v="0"/>
    <x v="0"/>
  </r>
  <r>
    <x v="44"/>
    <s v="Hubey Wartonby"/>
    <x v="1"/>
    <n v="3"/>
    <d v="2024-01-21T00:00:00"/>
    <x v="1"/>
    <x v="40"/>
    <x v="22"/>
    <x v="1"/>
    <x v="2"/>
    <x v="21"/>
    <x v="3"/>
    <x v="0"/>
  </r>
  <r>
    <x v="45"/>
    <s v="Cirstoforo Jemmett"/>
    <x v="2"/>
    <n v="4"/>
    <d v="2024-01-22T00:00:00"/>
    <x v="0"/>
    <x v="3"/>
    <x v="3"/>
    <x v="3"/>
    <x v="0"/>
    <x v="16"/>
    <x v="3"/>
    <x v="0"/>
  </r>
  <r>
    <x v="46"/>
    <s v="Elijah Goalby"/>
    <x v="2"/>
    <n v="2"/>
    <d v="2024-01-22T00:00:00"/>
    <x v="2"/>
    <x v="41"/>
    <x v="8"/>
    <x v="0"/>
    <x v="0"/>
    <x v="20"/>
    <x v="1"/>
    <x v="1"/>
  </r>
  <r>
    <x v="47"/>
    <s v="Thaddus Seeley"/>
    <x v="3"/>
    <n v="9"/>
    <d v="2024-01-23T00:00:00"/>
    <x v="0"/>
    <x v="42"/>
    <x v="8"/>
    <x v="0"/>
    <x v="0"/>
    <x v="16"/>
    <x v="3"/>
    <x v="1"/>
  </r>
  <r>
    <x v="48"/>
    <s v="Brody Rebichon"/>
    <x v="1"/>
    <n v="6"/>
    <d v="2024-01-23T00:00:00"/>
    <x v="0"/>
    <x v="43"/>
    <x v="23"/>
    <x v="0"/>
    <x v="0"/>
    <x v="25"/>
    <x v="3"/>
    <x v="1"/>
  </r>
  <r>
    <x v="49"/>
    <s v="Eartha Boner"/>
    <x v="3"/>
    <n v="8"/>
    <d v="2024-01-24T00:00:00"/>
    <x v="2"/>
    <x v="44"/>
    <x v="24"/>
    <x v="0"/>
    <x v="0"/>
    <x v="7"/>
    <x v="1"/>
    <x v="1"/>
  </r>
  <r>
    <x v="50"/>
    <s v="Loralee Shivell"/>
    <x v="0"/>
    <n v="8"/>
    <d v="2024-01-24T00:00:00"/>
    <x v="2"/>
    <x v="45"/>
    <x v="25"/>
    <x v="0"/>
    <x v="0"/>
    <x v="18"/>
    <x v="3"/>
    <x v="1"/>
  </r>
  <r>
    <x v="51"/>
    <s v="Zacherie Tigner"/>
    <x v="2"/>
    <n v="4"/>
    <d v="2024-01-24T00:00:00"/>
    <x v="1"/>
    <x v="46"/>
    <x v="8"/>
    <x v="1"/>
    <x v="0"/>
    <x v="11"/>
    <x v="3"/>
    <x v="1"/>
  </r>
  <r>
    <x v="52"/>
    <s v="Madelena Pinnock"/>
    <x v="1"/>
    <n v="4"/>
    <d v="2024-01-24T00:00:00"/>
    <x v="2"/>
    <x v="19"/>
    <x v="3"/>
    <x v="0"/>
    <x v="2"/>
    <x v="26"/>
    <x v="3"/>
    <x v="1"/>
  </r>
  <r>
    <x v="53"/>
    <s v="Mira Beddows"/>
    <x v="3"/>
    <n v="7"/>
    <d v="2024-01-25T00:00:00"/>
    <x v="0"/>
    <x v="47"/>
    <x v="26"/>
    <x v="1"/>
    <x v="0"/>
    <x v="12"/>
    <x v="3"/>
    <x v="1"/>
  </r>
  <r>
    <x v="54"/>
    <s v="Giralda Gebby"/>
    <x v="2"/>
    <n v="3"/>
    <d v="2024-01-25T00:00:00"/>
    <x v="0"/>
    <x v="48"/>
    <x v="23"/>
    <x v="0"/>
    <x v="2"/>
    <x v="8"/>
    <x v="3"/>
    <x v="1"/>
  </r>
  <r>
    <x v="55"/>
    <s v="Shelagh Washington"/>
    <x v="2"/>
    <n v="1"/>
    <d v="2024-01-26T00:00:00"/>
    <x v="0"/>
    <x v="33"/>
    <x v="19"/>
    <x v="0"/>
    <x v="0"/>
    <x v="19"/>
    <x v="3"/>
    <x v="1"/>
  </r>
  <r>
    <x v="56"/>
    <s v="Janeczka Caze"/>
    <x v="1"/>
    <n v="6"/>
    <d v="2024-01-26T00:00:00"/>
    <x v="0"/>
    <x v="23"/>
    <x v="16"/>
    <x v="1"/>
    <x v="0"/>
    <x v="27"/>
    <x v="1"/>
    <x v="1"/>
  </r>
  <r>
    <x v="57"/>
    <s v="Angie Francklin"/>
    <x v="1"/>
    <n v="4"/>
    <d v="2024-01-27T00:00:00"/>
    <x v="0"/>
    <x v="49"/>
    <x v="24"/>
    <x v="2"/>
    <x v="0"/>
    <x v="28"/>
    <x v="1"/>
    <x v="0"/>
  </r>
  <r>
    <x v="58"/>
    <s v="Anna-maria McPeice"/>
    <x v="0"/>
    <n v="7"/>
    <d v="2024-01-27T00:00:00"/>
    <x v="0"/>
    <x v="50"/>
    <x v="23"/>
    <x v="1"/>
    <x v="0"/>
    <x v="29"/>
    <x v="1"/>
    <x v="0"/>
  </r>
  <r>
    <x v="59"/>
    <s v="Jude Traise"/>
    <x v="4"/>
    <n v="9"/>
    <d v="2024-01-28T00:00:00"/>
    <x v="0"/>
    <x v="51"/>
    <x v="9"/>
    <x v="3"/>
    <x v="0"/>
    <x v="0"/>
    <x v="3"/>
    <x v="0"/>
  </r>
  <r>
    <x v="60"/>
    <s v="Evangeline Dillingham"/>
    <x v="1"/>
    <n v="5"/>
    <d v="2024-01-28T00:00:00"/>
    <x v="0"/>
    <x v="52"/>
    <x v="22"/>
    <x v="3"/>
    <x v="0"/>
    <x v="14"/>
    <x v="2"/>
    <x v="0"/>
  </r>
  <r>
    <x v="61"/>
    <s v="Patti Gocher"/>
    <x v="2"/>
    <n v="1"/>
    <d v="2024-01-29T00:00:00"/>
    <x v="1"/>
    <x v="53"/>
    <x v="23"/>
    <x v="1"/>
    <x v="0"/>
    <x v="30"/>
    <x v="2"/>
    <x v="0"/>
  </r>
  <r>
    <x v="62"/>
    <s v="Cora Buggs"/>
    <x v="1"/>
    <n v="3"/>
    <d v="2024-01-29T00:00:00"/>
    <x v="0"/>
    <x v="54"/>
    <x v="2"/>
    <x v="0"/>
    <x v="2"/>
    <x v="31"/>
    <x v="3"/>
    <x v="0"/>
  </r>
  <r>
    <x v="63"/>
    <s v="Othella Kindle"/>
    <x v="1"/>
    <n v="5"/>
    <d v="2024-01-29T00:00:00"/>
    <x v="0"/>
    <x v="6"/>
    <x v="6"/>
    <x v="2"/>
    <x v="0"/>
    <x v="12"/>
    <x v="2"/>
    <x v="0"/>
  </r>
  <r>
    <x v="64"/>
    <s v="Sheppard Withull"/>
    <x v="3"/>
    <n v="8"/>
    <d v="2024-01-29T00:00:00"/>
    <x v="0"/>
    <x v="55"/>
    <x v="8"/>
    <x v="2"/>
    <x v="1"/>
    <x v="10"/>
    <x v="1"/>
    <x v="0"/>
  </r>
  <r>
    <x v="65"/>
    <s v="Llewellyn Pablos"/>
    <x v="4"/>
    <n v="9"/>
    <d v="2024-01-29T00:00:00"/>
    <x v="1"/>
    <x v="20"/>
    <x v="2"/>
    <x v="1"/>
    <x v="0"/>
    <x v="32"/>
    <x v="1"/>
    <x v="0"/>
  </r>
  <r>
    <x v="66"/>
    <s v="Lurleen Swadden"/>
    <x v="0"/>
    <n v="8"/>
    <d v="2024-01-30T00:00:00"/>
    <x v="1"/>
    <x v="43"/>
    <x v="23"/>
    <x v="1"/>
    <x v="0"/>
    <x v="12"/>
    <x v="3"/>
    <x v="0"/>
  </r>
  <r>
    <x v="67"/>
    <s v="Ardith Bunting"/>
    <x v="1"/>
    <n v="3"/>
    <d v="2024-01-30T00:00:00"/>
    <x v="0"/>
    <x v="56"/>
    <x v="27"/>
    <x v="3"/>
    <x v="0"/>
    <x v="33"/>
    <x v="3"/>
    <x v="0"/>
  </r>
  <r>
    <x v="68"/>
    <s v="Wylie Gramer"/>
    <x v="1"/>
    <n v="3"/>
    <d v="2024-01-31T00:00:00"/>
    <x v="0"/>
    <x v="56"/>
    <x v="28"/>
    <x v="3"/>
    <x v="0"/>
    <x v="28"/>
    <x v="1"/>
    <x v="0"/>
  </r>
  <r>
    <x v="69"/>
    <s v="Bat Pond"/>
    <x v="1"/>
    <n v="5"/>
    <d v="2024-01-31T00:00:00"/>
    <x v="2"/>
    <x v="17"/>
    <x v="14"/>
    <x v="0"/>
    <x v="1"/>
    <x v="1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8496E3-2CF9-4B6B-965B-A71203E30B98}"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4:B25"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CSAT Score" fld="0" baseField="0" baseItem="0"/>
    <dataField name="Sum of Call Duration (Minutes)" fld="1" baseField="0" baseItem="0"/>
  </dataFields>
  <chartFormats count="10">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1"/>
          </reference>
        </references>
      </pivotArea>
    </chartFormat>
    <chartFormat chart="11" format="9">
      <pivotArea type="data" outline="0" fieldPosition="0">
        <references count="1">
          <reference field="4294967294"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1"/>
          </reference>
        </references>
      </pivotArea>
    </chartFormat>
    <chartFormat chart="16" format="9">
      <pivotArea type="data" outline="0" fieldPosition="0">
        <references count="1">
          <reference field="4294967294" count="1" selected="0">
            <x v="1"/>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ta!$B$6:$N$7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4680EE-5644-4E53-9617-9EE3BEA22D3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B14" firstHeaderRow="1" firstDataRow="1" firstDataCol="1"/>
  <pivotFields count="13">
    <pivotField showAll="0"/>
    <pivotField showAll="0"/>
    <pivotField dataField="1" showAll="0">
      <items count="6">
        <item x="1"/>
        <item x="0"/>
        <item x="3"/>
        <item x="2"/>
        <item x="4"/>
        <item t="default"/>
      </items>
    </pivotField>
    <pivotField showAll="0"/>
    <pivotField numFmtId="14" showAll="0"/>
    <pivotField axis="axisRow" showAll="0">
      <items count="4">
        <item x="0"/>
        <item x="1"/>
        <item x="2"/>
        <item t="default"/>
      </items>
    </pivotField>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Sentiment"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96032A-C6F7-463B-9208-D6D113157CB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B6" firstHeaderRow="1" firstDataRow="1" firstDataCol="1"/>
  <pivotFields count="13">
    <pivotField showAll="0">
      <items count="71">
        <item x="3"/>
        <item x="68"/>
        <item x="10"/>
        <item x="43"/>
        <item x="29"/>
        <item x="69"/>
        <item x="28"/>
        <item x="30"/>
        <item x="26"/>
        <item x="24"/>
        <item x="40"/>
        <item x="56"/>
        <item x="63"/>
        <item x="55"/>
        <item x="47"/>
        <item x="66"/>
        <item x="53"/>
        <item x="7"/>
        <item x="25"/>
        <item x="48"/>
        <item x="65"/>
        <item x="45"/>
        <item x="50"/>
        <item x="14"/>
        <item x="15"/>
        <item x="46"/>
        <item x="21"/>
        <item x="35"/>
        <item x="59"/>
        <item x="38"/>
        <item x="4"/>
        <item x="62"/>
        <item x="9"/>
        <item x="2"/>
        <item x="32"/>
        <item x="51"/>
        <item x="41"/>
        <item x="23"/>
        <item x="20"/>
        <item x="0"/>
        <item x="37"/>
        <item x="19"/>
        <item x="5"/>
        <item x="1"/>
        <item x="54"/>
        <item x="52"/>
        <item x="33"/>
        <item x="44"/>
        <item x="49"/>
        <item x="39"/>
        <item x="17"/>
        <item x="60"/>
        <item x="58"/>
        <item x="16"/>
        <item x="22"/>
        <item x="64"/>
        <item x="31"/>
        <item x="57"/>
        <item x="61"/>
        <item x="36"/>
        <item x="42"/>
        <item x="67"/>
        <item x="18"/>
        <item x="34"/>
        <item x="13"/>
        <item x="8"/>
        <item x="12"/>
        <item x="11"/>
        <item x="6"/>
        <item x="27"/>
        <item t="default"/>
      </items>
    </pivotField>
    <pivotField showAll="0"/>
    <pivotField showAll="0">
      <items count="6">
        <item x="1"/>
        <item x="0"/>
        <item x="3"/>
        <item x="2"/>
        <item x="4"/>
        <item t="default"/>
      </items>
    </pivotField>
    <pivotField showAll="0"/>
    <pivotField numFmtId="14" showAll="0"/>
    <pivotField showAll="0"/>
    <pivotField showAll="0">
      <items count="58">
        <item x="25"/>
        <item x="47"/>
        <item x="53"/>
        <item x="39"/>
        <item x="0"/>
        <item x="43"/>
        <item x="24"/>
        <item x="56"/>
        <item x="55"/>
        <item x="22"/>
        <item x="2"/>
        <item x="13"/>
        <item x="8"/>
        <item x="29"/>
        <item x="49"/>
        <item x="26"/>
        <item x="3"/>
        <item x="19"/>
        <item x="44"/>
        <item x="32"/>
        <item x="28"/>
        <item x="51"/>
        <item x="1"/>
        <item x="30"/>
        <item x="10"/>
        <item x="38"/>
        <item x="45"/>
        <item x="54"/>
        <item x="15"/>
        <item x="40"/>
        <item x="6"/>
        <item x="46"/>
        <item x="20"/>
        <item x="18"/>
        <item x="23"/>
        <item x="35"/>
        <item x="48"/>
        <item x="7"/>
        <item x="17"/>
        <item x="41"/>
        <item x="5"/>
        <item x="11"/>
        <item x="36"/>
        <item x="52"/>
        <item x="37"/>
        <item x="50"/>
        <item x="42"/>
        <item x="31"/>
        <item x="33"/>
        <item x="14"/>
        <item x="9"/>
        <item x="27"/>
        <item x="34"/>
        <item x="21"/>
        <item x="12"/>
        <item x="4"/>
        <item x="16"/>
        <item t="default"/>
      </items>
    </pivotField>
    <pivotField axis="axisRow" showAll="0">
      <items count="30">
        <item h="1" x="4"/>
        <item h="1" x="10"/>
        <item h="1" x="6"/>
        <item h="1" x="8"/>
        <item h="1" x="17"/>
        <item h="1" x="13"/>
        <item h="1" x="3"/>
        <item h="1" x="28"/>
        <item h="1" x="1"/>
        <item h="1" x="23"/>
        <item h="1" x="24"/>
        <item h="1" x="11"/>
        <item h="1" x="18"/>
        <item h="1" x="26"/>
        <item h="1" x="12"/>
        <item x="16"/>
        <item h="1" x="25"/>
        <item h="1" x="22"/>
        <item h="1" x="14"/>
        <item h="1" x="27"/>
        <item h="1" x="9"/>
        <item h="1" x="20"/>
        <item h="1" x="5"/>
        <item h="1" x="7"/>
        <item h="1" x="2"/>
        <item h="1" x="19"/>
        <item h="1" x="21"/>
        <item h="1" x="0"/>
        <item h="1" x="15"/>
        <item t="default"/>
      </items>
    </pivotField>
    <pivotField dataField="1" showAll="0">
      <items count="5">
        <item x="1"/>
        <item x="0"/>
        <item x="2"/>
        <item x="3"/>
        <item t="default"/>
      </items>
    </pivotField>
    <pivotField showAll="0">
      <items count="4">
        <item x="2"/>
        <item x="1"/>
        <item x="0"/>
        <item t="default"/>
      </items>
    </pivotField>
    <pivotField showAll="0">
      <items count="35">
        <item x="2"/>
        <item x="18"/>
        <item x="12"/>
        <item x="4"/>
        <item x="30"/>
        <item x="6"/>
        <item x="25"/>
        <item x="0"/>
        <item x="5"/>
        <item x="21"/>
        <item x="27"/>
        <item x="33"/>
        <item x="13"/>
        <item x="26"/>
        <item x="28"/>
        <item x="22"/>
        <item x="3"/>
        <item x="24"/>
        <item x="9"/>
        <item x="11"/>
        <item x="14"/>
        <item x="1"/>
        <item x="32"/>
        <item x="19"/>
        <item x="10"/>
        <item x="20"/>
        <item x="29"/>
        <item x="16"/>
        <item x="15"/>
        <item x="17"/>
        <item x="7"/>
        <item x="23"/>
        <item x="8"/>
        <item x="31"/>
        <item t="default"/>
      </items>
    </pivotField>
    <pivotField showAll="0">
      <items count="5">
        <item x="3"/>
        <item x="0"/>
        <item x="2"/>
        <item x="1"/>
        <item t="default"/>
      </items>
    </pivotField>
    <pivotField showAll="0">
      <items count="3">
        <item h="1" x="0"/>
        <item x="1"/>
        <item t="default"/>
      </items>
    </pivotField>
  </pivotFields>
  <rowFields count="1">
    <field x="7"/>
  </rowFields>
  <rowItems count="2">
    <i>
      <x v="15"/>
    </i>
    <i t="grand">
      <x/>
    </i>
  </rowItems>
  <colItems count="1">
    <i/>
  </colItems>
  <dataFields count="1">
    <dataField name="Count of Channel" fld="8" subtotal="count" baseField="0" baseItem="0"/>
  </dataFields>
  <chartFormats count="2">
    <chartFormat chart="3" format="36" series="1">
      <pivotArea type="data" outline="0" fieldPosition="0">
        <references count="1">
          <reference field="4294967294" count="1" selected="0">
            <x v="0"/>
          </reference>
        </references>
      </pivotArea>
    </chartFormat>
    <chartFormat chart="0" format="3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1281AEB-52DD-4C7C-9268-F787BEB440F4}" sourceName="Gender">
  <pivotTables>
    <pivotTable tabId="10" name="PivotTable3"/>
  </pivotTables>
  <data>
    <tabular pivotCacheId="1854940526">
      <items count="2">
        <i x="1" s="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4BC571A-CF1F-4DAD-AD6B-E0C5201E5896}" sourceName="State">
  <pivotTables>
    <pivotTable tabId="10" name="PivotTable3"/>
  </pivotTables>
  <data>
    <tabular pivotCacheId="1854940526">
      <items count="29">
        <i x="8"/>
        <i x="17"/>
        <i x="3"/>
        <i x="23"/>
        <i x="24"/>
        <i x="18"/>
        <i x="26"/>
        <i x="16" s="1"/>
        <i x="25"/>
        <i x="9"/>
        <i x="2"/>
        <i x="19"/>
        <i x="4" nd="1"/>
        <i x="10" nd="1"/>
        <i x="6" nd="1"/>
        <i x="13" nd="1"/>
        <i x="28" nd="1"/>
        <i x="1" nd="1"/>
        <i x="11" nd="1"/>
        <i x="12" nd="1"/>
        <i x="22" nd="1"/>
        <i x="14" nd="1"/>
        <i x="27" nd="1"/>
        <i x="20" nd="1"/>
        <i x="5" nd="1"/>
        <i x="7" nd="1"/>
        <i x="21" nd="1"/>
        <i x="0" nd="1"/>
        <i x="1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8427761-C798-4823-8D92-59D9999B5170}" cache="Slicer_Gender" caption="Gender" rowHeight="241300"/>
  <slicer name="State" xr10:uid="{FAB2EF07-AF36-4C04-8CD5-07D2CF8BCA01}" cache="Slicer_State" caption="State" startItem="9"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4A715-4477-4FBA-B91C-8E6D607270F7}">
  <sheetPr>
    <tabColor rgb="FFFFFF00"/>
  </sheetPr>
  <dimension ref="B2:N76"/>
  <sheetViews>
    <sheetView showGridLines="0" topLeftCell="B70" workbookViewId="0">
      <selection activeCell="D33" sqref="D33"/>
    </sheetView>
  </sheetViews>
  <sheetFormatPr defaultColWidth="8.90625" defaultRowHeight="14.5" x14ac:dyDescent="0.35"/>
  <cols>
    <col min="1" max="1" width="3.6328125" style="2" customWidth="1"/>
    <col min="2" max="2" width="15" style="2" customWidth="1"/>
    <col min="3" max="3" width="21" style="2" customWidth="1"/>
    <col min="4" max="4" width="13.6328125" style="2" customWidth="1"/>
    <col min="5" max="5" width="8.54296875" style="2" customWidth="1"/>
    <col min="6" max="6" width="14.6328125" style="2" customWidth="1"/>
    <col min="7" max="7" width="15.36328125" style="2" customWidth="1"/>
    <col min="8" max="8" width="17" style="2" customWidth="1"/>
    <col min="9" max="9" width="18.6328125" style="2" customWidth="1"/>
    <col min="10" max="10" width="11" style="2" customWidth="1"/>
    <col min="11" max="11" width="14.453125" style="2" customWidth="1"/>
    <col min="12" max="12" width="13.90625" style="2" customWidth="1"/>
    <col min="13" max="13" width="14.90625" style="2" customWidth="1"/>
    <col min="14" max="14" width="10.453125" style="2" customWidth="1"/>
    <col min="15" max="16384" width="8.90625" style="2"/>
  </cols>
  <sheetData>
    <row r="2" spans="2:14" ht="19" thickBot="1" x14ac:dyDescent="0.4">
      <c r="B2" s="1" t="s">
        <v>0</v>
      </c>
      <c r="C2" s="1"/>
      <c r="D2" s="1"/>
      <c r="E2" s="1"/>
      <c r="F2" s="1"/>
      <c r="G2" s="1"/>
      <c r="H2" s="1"/>
      <c r="I2" s="1"/>
      <c r="J2" s="1"/>
      <c r="K2" s="1"/>
      <c r="L2" s="1"/>
      <c r="M2" s="1"/>
    </row>
    <row r="4" spans="2:14" ht="19" thickBot="1" x14ac:dyDescent="0.4">
      <c r="B4" s="3" t="s">
        <v>1</v>
      </c>
      <c r="C4" s="1"/>
      <c r="D4" s="1"/>
      <c r="E4" s="1"/>
      <c r="F4" s="1"/>
      <c r="G4" s="1"/>
      <c r="H4" s="1"/>
      <c r="I4" s="1"/>
      <c r="J4" s="1"/>
      <c r="K4" s="1"/>
      <c r="L4" s="1"/>
      <c r="M4" s="1"/>
    </row>
    <row r="6" spans="2:14" ht="33.75" customHeight="1" x14ac:dyDescent="0.35">
      <c r="B6" s="4" t="s">
        <v>2</v>
      </c>
      <c r="C6" s="4" t="s">
        <v>3</v>
      </c>
      <c r="D6" s="4" t="s">
        <v>4</v>
      </c>
      <c r="E6" s="4" t="s">
        <v>5</v>
      </c>
      <c r="F6" s="4" t="s">
        <v>6</v>
      </c>
      <c r="G6" s="4" t="s">
        <v>7</v>
      </c>
      <c r="H6" s="4" t="s">
        <v>8</v>
      </c>
      <c r="I6" s="4" t="s">
        <v>9</v>
      </c>
      <c r="J6" s="4" t="s">
        <v>10</v>
      </c>
      <c r="K6" s="4" t="s">
        <v>11</v>
      </c>
      <c r="L6" s="4" t="s">
        <v>12</v>
      </c>
      <c r="M6" s="4" t="s">
        <v>13</v>
      </c>
      <c r="N6" s="2" t="s">
        <v>259</v>
      </c>
    </row>
    <row r="7" spans="2:14" x14ac:dyDescent="0.35">
      <c r="B7" s="5" t="s">
        <v>14</v>
      </c>
      <c r="C7" s="5" t="s">
        <v>15</v>
      </c>
      <c r="D7" s="5" t="s">
        <v>16</v>
      </c>
      <c r="E7" s="5">
        <v>8</v>
      </c>
      <c r="F7" s="6">
        <v>45292</v>
      </c>
      <c r="G7" s="5" t="s">
        <v>17</v>
      </c>
      <c r="H7" s="5" t="s">
        <v>18</v>
      </c>
      <c r="I7" s="5" t="s">
        <v>19</v>
      </c>
      <c r="J7" s="5" t="s">
        <v>20</v>
      </c>
      <c r="K7" s="5" t="s">
        <v>21</v>
      </c>
      <c r="L7" s="5">
        <v>14</v>
      </c>
      <c r="M7" s="5" t="s">
        <v>22</v>
      </c>
      <c r="N7" s="7" t="s">
        <v>260</v>
      </c>
    </row>
    <row r="8" spans="2:14" x14ac:dyDescent="0.35">
      <c r="B8" s="5" t="s">
        <v>23</v>
      </c>
      <c r="C8" s="5" t="s">
        <v>24</v>
      </c>
      <c r="D8" s="5" t="s">
        <v>25</v>
      </c>
      <c r="E8" s="5">
        <v>5</v>
      </c>
      <c r="F8" s="6">
        <v>45292</v>
      </c>
      <c r="G8" s="5" t="s">
        <v>17</v>
      </c>
      <c r="H8" s="5" t="s">
        <v>26</v>
      </c>
      <c r="I8" s="5" t="s">
        <v>27</v>
      </c>
      <c r="J8" s="5" t="s">
        <v>28</v>
      </c>
      <c r="K8" s="5" t="s">
        <v>21</v>
      </c>
      <c r="L8" s="5">
        <v>32</v>
      </c>
      <c r="M8" s="5" t="s">
        <v>29</v>
      </c>
      <c r="N8" s="7" t="s">
        <v>260</v>
      </c>
    </row>
    <row r="9" spans="2:14" x14ac:dyDescent="0.35">
      <c r="B9" s="5" t="s">
        <v>30</v>
      </c>
      <c r="C9" s="5" t="s">
        <v>31</v>
      </c>
      <c r="D9" s="5" t="s">
        <v>25</v>
      </c>
      <c r="E9" s="5">
        <v>3</v>
      </c>
      <c r="F9" s="6">
        <v>45293</v>
      </c>
      <c r="G9" s="5" t="s">
        <v>17</v>
      </c>
      <c r="H9" s="5" t="s">
        <v>32</v>
      </c>
      <c r="I9" s="5" t="s">
        <v>33</v>
      </c>
      <c r="J9" s="5" t="s">
        <v>20</v>
      </c>
      <c r="K9" s="5" t="s">
        <v>21</v>
      </c>
      <c r="L9" s="5">
        <v>6</v>
      </c>
      <c r="M9" s="5" t="s">
        <v>34</v>
      </c>
      <c r="N9" s="7" t="s">
        <v>260</v>
      </c>
    </row>
    <row r="10" spans="2:14" x14ac:dyDescent="0.35">
      <c r="B10" s="5" t="s">
        <v>35</v>
      </c>
      <c r="C10" s="5" t="s">
        <v>36</v>
      </c>
      <c r="D10" s="5" t="s">
        <v>37</v>
      </c>
      <c r="E10" s="5">
        <v>4</v>
      </c>
      <c r="F10" s="6">
        <v>45293</v>
      </c>
      <c r="G10" s="5" t="s">
        <v>17</v>
      </c>
      <c r="H10" s="5" t="s">
        <v>38</v>
      </c>
      <c r="I10" s="5" t="s">
        <v>39</v>
      </c>
      <c r="J10" s="5" t="s">
        <v>40</v>
      </c>
      <c r="K10" s="5" t="s">
        <v>41</v>
      </c>
      <c r="L10" s="5">
        <v>26</v>
      </c>
      <c r="M10" s="5" t="s">
        <v>29</v>
      </c>
      <c r="N10" s="7" t="s">
        <v>260</v>
      </c>
    </row>
    <row r="11" spans="2:14" x14ac:dyDescent="0.35">
      <c r="B11" s="5" t="s">
        <v>42</v>
      </c>
      <c r="C11" s="5" t="s">
        <v>43</v>
      </c>
      <c r="D11" s="5" t="s">
        <v>44</v>
      </c>
      <c r="E11" s="5">
        <v>8</v>
      </c>
      <c r="F11" s="6">
        <v>45293</v>
      </c>
      <c r="G11" s="5" t="s">
        <v>17</v>
      </c>
      <c r="H11" s="5" t="s">
        <v>45</v>
      </c>
      <c r="I11" s="5" t="s">
        <v>46</v>
      </c>
      <c r="J11" s="5" t="s">
        <v>47</v>
      </c>
      <c r="K11" s="5" t="s">
        <v>21</v>
      </c>
      <c r="L11" s="5">
        <v>26</v>
      </c>
      <c r="M11" s="5" t="s">
        <v>29</v>
      </c>
      <c r="N11" s="7" t="s">
        <v>260</v>
      </c>
    </row>
    <row r="12" spans="2:14" x14ac:dyDescent="0.35">
      <c r="B12" s="5" t="s">
        <v>48</v>
      </c>
      <c r="C12" s="5" t="s">
        <v>49</v>
      </c>
      <c r="D12" s="5" t="s">
        <v>37</v>
      </c>
      <c r="E12" s="5">
        <v>4</v>
      </c>
      <c r="F12" s="6">
        <v>45294</v>
      </c>
      <c r="G12" s="5" t="s">
        <v>17</v>
      </c>
      <c r="H12" s="5" t="s">
        <v>18</v>
      </c>
      <c r="I12" s="5" t="s">
        <v>50</v>
      </c>
      <c r="J12" s="5" t="s">
        <v>47</v>
      </c>
      <c r="K12" s="5" t="s">
        <v>21</v>
      </c>
      <c r="L12" s="5">
        <v>6</v>
      </c>
      <c r="M12" s="5" t="s">
        <v>51</v>
      </c>
      <c r="N12" s="7" t="s">
        <v>260</v>
      </c>
    </row>
    <row r="13" spans="2:14" x14ac:dyDescent="0.35">
      <c r="B13" s="5" t="s">
        <v>52</v>
      </c>
      <c r="C13" s="5" t="s">
        <v>53</v>
      </c>
      <c r="D13" s="5" t="s">
        <v>54</v>
      </c>
      <c r="E13" s="5">
        <v>10</v>
      </c>
      <c r="F13" s="6">
        <v>45294</v>
      </c>
      <c r="G13" s="5" t="s">
        <v>55</v>
      </c>
      <c r="H13" s="5" t="s">
        <v>56</v>
      </c>
      <c r="I13" s="5" t="s">
        <v>39</v>
      </c>
      <c r="J13" s="5" t="s">
        <v>28</v>
      </c>
      <c r="K13" s="5" t="s">
        <v>21</v>
      </c>
      <c r="L13" s="5">
        <v>9</v>
      </c>
      <c r="M13" s="5" t="s">
        <v>29</v>
      </c>
      <c r="N13" s="7" t="s">
        <v>260</v>
      </c>
    </row>
    <row r="14" spans="2:14" x14ac:dyDescent="0.35">
      <c r="B14" s="5" t="s">
        <v>57</v>
      </c>
      <c r="C14" s="5" t="s">
        <v>58</v>
      </c>
      <c r="D14" s="5" t="s">
        <v>25</v>
      </c>
      <c r="E14" s="5">
        <v>3</v>
      </c>
      <c r="F14" s="6">
        <v>45295</v>
      </c>
      <c r="G14" s="5" t="s">
        <v>17</v>
      </c>
      <c r="H14" s="5" t="s">
        <v>59</v>
      </c>
      <c r="I14" s="5" t="s">
        <v>60</v>
      </c>
      <c r="J14" s="5" t="s">
        <v>28</v>
      </c>
      <c r="K14" s="5" t="s">
        <v>21</v>
      </c>
      <c r="L14" s="5">
        <v>15</v>
      </c>
      <c r="M14" s="5" t="s">
        <v>51</v>
      </c>
      <c r="N14" s="7" t="s">
        <v>260</v>
      </c>
    </row>
    <row r="15" spans="2:14" x14ac:dyDescent="0.35">
      <c r="B15" s="5" t="s">
        <v>61</v>
      </c>
      <c r="C15" s="5" t="s">
        <v>62</v>
      </c>
      <c r="D15" s="5" t="s">
        <v>25</v>
      </c>
      <c r="E15" s="5">
        <v>3</v>
      </c>
      <c r="F15" s="6">
        <v>45295</v>
      </c>
      <c r="G15" s="5" t="s">
        <v>17</v>
      </c>
      <c r="H15" s="5" t="s">
        <v>63</v>
      </c>
      <c r="I15" s="5" t="s">
        <v>64</v>
      </c>
      <c r="J15" s="5" t="s">
        <v>47</v>
      </c>
      <c r="K15" s="5" t="s">
        <v>21</v>
      </c>
      <c r="L15" s="5">
        <v>12</v>
      </c>
      <c r="M15" s="5" t="s">
        <v>29</v>
      </c>
      <c r="N15" s="7" t="s">
        <v>260</v>
      </c>
    </row>
    <row r="16" spans="2:14" x14ac:dyDescent="0.35">
      <c r="B16" s="5" t="s">
        <v>65</v>
      </c>
      <c r="C16" s="5" t="s">
        <v>66</v>
      </c>
      <c r="D16" s="5" t="s">
        <v>25</v>
      </c>
      <c r="E16" s="5">
        <v>6</v>
      </c>
      <c r="F16" s="6">
        <v>45296</v>
      </c>
      <c r="G16" s="5" t="s">
        <v>17</v>
      </c>
      <c r="H16" s="5" t="s">
        <v>67</v>
      </c>
      <c r="I16" s="5" t="s">
        <v>33</v>
      </c>
      <c r="J16" s="5" t="s">
        <v>47</v>
      </c>
      <c r="K16" s="5" t="s">
        <v>21</v>
      </c>
      <c r="L16" s="5">
        <v>42</v>
      </c>
      <c r="M16" s="5" t="s">
        <v>29</v>
      </c>
      <c r="N16" s="7" t="s">
        <v>260</v>
      </c>
    </row>
    <row r="17" spans="2:14" x14ac:dyDescent="0.35">
      <c r="B17" s="5" t="s">
        <v>68</v>
      </c>
      <c r="C17" s="5" t="s">
        <v>69</v>
      </c>
      <c r="D17" s="5" t="s">
        <v>25</v>
      </c>
      <c r="E17" s="5">
        <v>3</v>
      </c>
      <c r="F17" s="6">
        <v>45296</v>
      </c>
      <c r="G17" s="5" t="s">
        <v>17</v>
      </c>
      <c r="H17" s="5" t="s">
        <v>70</v>
      </c>
      <c r="I17" s="5" t="s">
        <v>71</v>
      </c>
      <c r="J17" s="5" t="s">
        <v>20</v>
      </c>
      <c r="K17" s="5" t="s">
        <v>72</v>
      </c>
      <c r="L17" s="5">
        <v>44</v>
      </c>
      <c r="M17" s="5" t="s">
        <v>51</v>
      </c>
      <c r="N17" s="7" t="s">
        <v>260</v>
      </c>
    </row>
    <row r="18" spans="2:14" x14ac:dyDescent="0.35">
      <c r="B18" s="5" t="s">
        <v>73</v>
      </c>
      <c r="C18" s="5" t="s">
        <v>74</v>
      </c>
      <c r="D18" s="5" t="s">
        <v>16</v>
      </c>
      <c r="E18" s="5">
        <v>7</v>
      </c>
      <c r="F18" s="6">
        <v>45297</v>
      </c>
      <c r="G18" s="5" t="s">
        <v>17</v>
      </c>
      <c r="H18" s="5" t="s">
        <v>75</v>
      </c>
      <c r="I18" s="5" t="s">
        <v>19</v>
      </c>
      <c r="J18" s="5" t="s">
        <v>20</v>
      </c>
      <c r="K18" s="5" t="s">
        <v>21</v>
      </c>
      <c r="L18" s="5">
        <v>29</v>
      </c>
      <c r="M18" s="5" t="s">
        <v>51</v>
      </c>
      <c r="N18" s="7" t="s">
        <v>260</v>
      </c>
    </row>
    <row r="19" spans="2:14" x14ac:dyDescent="0.35">
      <c r="B19" s="5" t="s">
        <v>76</v>
      </c>
      <c r="C19" s="5" t="s">
        <v>77</v>
      </c>
      <c r="D19" s="5" t="s">
        <v>25</v>
      </c>
      <c r="E19" s="5">
        <v>5</v>
      </c>
      <c r="F19" s="6">
        <v>45297</v>
      </c>
      <c r="G19" s="5" t="s">
        <v>17</v>
      </c>
      <c r="H19" s="5" t="s">
        <v>78</v>
      </c>
      <c r="I19" s="5" t="s">
        <v>79</v>
      </c>
      <c r="J19" s="5" t="s">
        <v>20</v>
      </c>
      <c r="K19" s="5" t="s">
        <v>21</v>
      </c>
      <c r="L19" s="5">
        <v>35</v>
      </c>
      <c r="M19" s="5" t="s">
        <v>51</v>
      </c>
      <c r="N19" s="7" t="s">
        <v>260</v>
      </c>
    </row>
    <row r="20" spans="2:14" x14ac:dyDescent="0.35">
      <c r="B20" s="5" t="s">
        <v>80</v>
      </c>
      <c r="C20" s="5" t="s">
        <v>81</v>
      </c>
      <c r="D20" s="5" t="s">
        <v>37</v>
      </c>
      <c r="E20" s="5">
        <v>2</v>
      </c>
      <c r="F20" s="6">
        <v>45298</v>
      </c>
      <c r="G20" s="5" t="s">
        <v>17</v>
      </c>
      <c r="H20" s="5" t="s">
        <v>82</v>
      </c>
      <c r="I20" s="5" t="s">
        <v>83</v>
      </c>
      <c r="J20" s="5" t="s">
        <v>47</v>
      </c>
      <c r="K20" s="5" t="s">
        <v>21</v>
      </c>
      <c r="L20" s="5">
        <v>30</v>
      </c>
      <c r="M20" s="5" t="s">
        <v>29</v>
      </c>
      <c r="N20" s="7" t="s">
        <v>260</v>
      </c>
    </row>
    <row r="21" spans="2:14" x14ac:dyDescent="0.35">
      <c r="B21" s="5" t="s">
        <v>84</v>
      </c>
      <c r="C21" s="5" t="s">
        <v>85</v>
      </c>
      <c r="D21" s="5" t="s">
        <v>25</v>
      </c>
      <c r="E21" s="5">
        <v>6</v>
      </c>
      <c r="F21" s="6">
        <v>45298</v>
      </c>
      <c r="G21" s="5" t="s">
        <v>55</v>
      </c>
      <c r="H21" s="5" t="s">
        <v>86</v>
      </c>
      <c r="I21" s="5" t="s">
        <v>87</v>
      </c>
      <c r="J21" s="5" t="s">
        <v>28</v>
      </c>
      <c r="K21" s="5" t="s">
        <v>21</v>
      </c>
      <c r="L21" s="5">
        <v>29</v>
      </c>
      <c r="M21" s="5" t="s">
        <v>29</v>
      </c>
      <c r="N21" s="7" t="s">
        <v>260</v>
      </c>
    </row>
    <row r="22" spans="2:14" x14ac:dyDescent="0.35">
      <c r="B22" s="5" t="s">
        <v>88</v>
      </c>
      <c r="C22" s="5" t="s">
        <v>89</v>
      </c>
      <c r="D22" s="5" t="s">
        <v>44</v>
      </c>
      <c r="E22" s="5">
        <v>9</v>
      </c>
      <c r="F22" s="6">
        <v>45299</v>
      </c>
      <c r="G22" s="5" t="s">
        <v>55</v>
      </c>
      <c r="H22" s="5" t="s">
        <v>90</v>
      </c>
      <c r="I22" s="5" t="s">
        <v>71</v>
      </c>
      <c r="J22" s="5" t="s">
        <v>28</v>
      </c>
      <c r="K22" s="5" t="s">
        <v>21</v>
      </c>
      <c r="L22" s="5">
        <v>9</v>
      </c>
      <c r="M22" s="5" t="s">
        <v>51</v>
      </c>
      <c r="N22" s="7" t="s">
        <v>260</v>
      </c>
    </row>
    <row r="23" spans="2:14" x14ac:dyDescent="0.35">
      <c r="B23" s="5" t="s">
        <v>91</v>
      </c>
      <c r="C23" s="5" t="s">
        <v>92</v>
      </c>
      <c r="D23" s="5" t="s">
        <v>54</v>
      </c>
      <c r="E23" s="5">
        <v>9</v>
      </c>
      <c r="F23" s="6">
        <v>45299</v>
      </c>
      <c r="G23" s="5" t="s">
        <v>17</v>
      </c>
      <c r="H23" s="5" t="s">
        <v>93</v>
      </c>
      <c r="I23" s="5" t="s">
        <v>94</v>
      </c>
      <c r="J23" s="5" t="s">
        <v>20</v>
      </c>
      <c r="K23" s="5" t="s">
        <v>21</v>
      </c>
      <c r="L23" s="5">
        <v>8</v>
      </c>
      <c r="M23" s="5" t="s">
        <v>29</v>
      </c>
      <c r="N23" s="7" t="s">
        <v>260</v>
      </c>
    </row>
    <row r="24" spans="2:14" x14ac:dyDescent="0.35">
      <c r="B24" s="5" t="s">
        <v>95</v>
      </c>
      <c r="C24" s="5" t="s">
        <v>96</v>
      </c>
      <c r="D24" s="5" t="s">
        <v>37</v>
      </c>
      <c r="E24" s="5">
        <v>3</v>
      </c>
      <c r="F24" s="6">
        <v>45299</v>
      </c>
      <c r="G24" s="5" t="s">
        <v>17</v>
      </c>
      <c r="H24" s="5" t="s">
        <v>97</v>
      </c>
      <c r="I24" s="5" t="s">
        <v>98</v>
      </c>
      <c r="J24" s="5" t="s">
        <v>20</v>
      </c>
      <c r="K24" s="5" t="s">
        <v>72</v>
      </c>
      <c r="L24" s="5">
        <v>35</v>
      </c>
      <c r="M24" s="5" t="s">
        <v>22</v>
      </c>
      <c r="N24" s="7" t="s">
        <v>260</v>
      </c>
    </row>
    <row r="25" spans="2:14" x14ac:dyDescent="0.35">
      <c r="B25" s="5" t="s">
        <v>99</v>
      </c>
      <c r="C25" s="5" t="s">
        <v>100</v>
      </c>
      <c r="D25" s="5" t="s">
        <v>44</v>
      </c>
      <c r="E25" s="5">
        <v>7</v>
      </c>
      <c r="F25" s="6">
        <v>45299</v>
      </c>
      <c r="G25" s="5" t="s">
        <v>17</v>
      </c>
      <c r="H25" s="5" t="s">
        <v>101</v>
      </c>
      <c r="I25" s="5" t="s">
        <v>102</v>
      </c>
      <c r="J25" s="5" t="s">
        <v>47</v>
      </c>
      <c r="K25" s="5" t="s">
        <v>21</v>
      </c>
      <c r="L25" s="5">
        <v>20</v>
      </c>
      <c r="M25" s="5" t="s">
        <v>51</v>
      </c>
      <c r="N25" s="7" t="s">
        <v>260</v>
      </c>
    </row>
    <row r="26" spans="2:14" x14ac:dyDescent="0.35">
      <c r="B26" s="5" t="s">
        <v>103</v>
      </c>
      <c r="C26" s="5" t="s">
        <v>104</v>
      </c>
      <c r="D26" s="5" t="s">
        <v>25</v>
      </c>
      <c r="E26" s="5">
        <v>3</v>
      </c>
      <c r="F26" s="6">
        <v>45300</v>
      </c>
      <c r="G26" s="5" t="s">
        <v>17</v>
      </c>
      <c r="H26" s="5" t="s">
        <v>105</v>
      </c>
      <c r="I26" s="5" t="s">
        <v>106</v>
      </c>
      <c r="J26" s="5" t="s">
        <v>47</v>
      </c>
      <c r="K26" s="5" t="s">
        <v>21</v>
      </c>
      <c r="L26" s="5">
        <v>31</v>
      </c>
      <c r="M26" s="5" t="s">
        <v>29</v>
      </c>
      <c r="N26" s="7" t="s">
        <v>260</v>
      </c>
    </row>
    <row r="27" spans="2:14" x14ac:dyDescent="0.35">
      <c r="B27" s="5" t="s">
        <v>107</v>
      </c>
      <c r="C27" s="5" t="s">
        <v>108</v>
      </c>
      <c r="D27" s="5" t="s">
        <v>16</v>
      </c>
      <c r="E27" s="5">
        <v>5</v>
      </c>
      <c r="F27" s="6">
        <v>45300</v>
      </c>
      <c r="G27" s="5" t="s">
        <v>17</v>
      </c>
      <c r="H27" s="5" t="s">
        <v>109</v>
      </c>
      <c r="I27" s="5" t="s">
        <v>39</v>
      </c>
      <c r="J27" s="5" t="s">
        <v>40</v>
      </c>
      <c r="K27" s="5" t="s">
        <v>41</v>
      </c>
      <c r="L27" s="5">
        <v>39</v>
      </c>
      <c r="M27" s="5" t="s">
        <v>29</v>
      </c>
      <c r="N27" s="7" t="s">
        <v>260</v>
      </c>
    </row>
    <row r="28" spans="2:14" x14ac:dyDescent="0.35">
      <c r="B28" s="5" t="s">
        <v>110</v>
      </c>
      <c r="C28" s="5" t="s">
        <v>111</v>
      </c>
      <c r="D28" s="5" t="s">
        <v>25</v>
      </c>
      <c r="E28" s="5">
        <v>3</v>
      </c>
      <c r="F28" s="6">
        <v>45301</v>
      </c>
      <c r="G28" s="5" t="s">
        <v>17</v>
      </c>
      <c r="H28" s="5" t="s">
        <v>112</v>
      </c>
      <c r="I28" s="5" t="s">
        <v>33</v>
      </c>
      <c r="J28" s="5" t="s">
        <v>28</v>
      </c>
      <c r="K28" s="5" t="s">
        <v>21</v>
      </c>
      <c r="L28" s="5">
        <v>38</v>
      </c>
      <c r="M28" s="5" t="s">
        <v>34</v>
      </c>
      <c r="N28" s="7" t="s">
        <v>260</v>
      </c>
    </row>
    <row r="29" spans="2:14" x14ac:dyDescent="0.35">
      <c r="B29" s="5" t="s">
        <v>113</v>
      </c>
      <c r="C29" s="5" t="s">
        <v>114</v>
      </c>
      <c r="D29" s="5" t="s">
        <v>25</v>
      </c>
      <c r="E29" s="5">
        <v>4</v>
      </c>
      <c r="F29" s="6">
        <v>45301</v>
      </c>
      <c r="G29" s="5" t="s">
        <v>17</v>
      </c>
      <c r="H29" s="5" t="s">
        <v>115</v>
      </c>
      <c r="I29" s="5" t="s">
        <v>71</v>
      </c>
      <c r="J29" s="5" t="s">
        <v>28</v>
      </c>
      <c r="K29" s="5" t="s">
        <v>72</v>
      </c>
      <c r="L29" s="5">
        <v>44</v>
      </c>
      <c r="M29" s="5" t="s">
        <v>34</v>
      </c>
      <c r="N29" s="7" t="s">
        <v>261</v>
      </c>
    </row>
    <row r="30" spans="2:14" x14ac:dyDescent="0.35">
      <c r="B30" s="5" t="s">
        <v>116</v>
      </c>
      <c r="C30" s="5" t="s">
        <v>117</v>
      </c>
      <c r="D30" s="5" t="s">
        <v>37</v>
      </c>
      <c r="E30" s="5">
        <v>4</v>
      </c>
      <c r="F30" s="6">
        <v>45302</v>
      </c>
      <c r="G30" s="5" t="s">
        <v>118</v>
      </c>
      <c r="H30" s="5" t="s">
        <v>119</v>
      </c>
      <c r="I30" s="5" t="s">
        <v>33</v>
      </c>
      <c r="J30" s="5" t="s">
        <v>20</v>
      </c>
      <c r="K30" s="5" t="s">
        <v>21</v>
      </c>
      <c r="L30" s="5">
        <v>41</v>
      </c>
      <c r="M30" s="5" t="s">
        <v>22</v>
      </c>
      <c r="N30" s="7" t="s">
        <v>261</v>
      </c>
    </row>
    <row r="31" spans="2:14" x14ac:dyDescent="0.35">
      <c r="B31" s="5" t="s">
        <v>120</v>
      </c>
      <c r="C31" s="5" t="s">
        <v>121</v>
      </c>
      <c r="D31" s="5" t="s">
        <v>37</v>
      </c>
      <c r="E31" s="5">
        <v>4</v>
      </c>
      <c r="F31" s="6">
        <v>45302</v>
      </c>
      <c r="G31" s="5" t="s">
        <v>17</v>
      </c>
      <c r="H31" s="5" t="s">
        <v>122</v>
      </c>
      <c r="I31" s="5" t="s">
        <v>123</v>
      </c>
      <c r="J31" s="5" t="s">
        <v>20</v>
      </c>
      <c r="K31" s="5" t="s">
        <v>21</v>
      </c>
      <c r="L31" s="5">
        <v>7</v>
      </c>
      <c r="M31" s="5" t="s">
        <v>51</v>
      </c>
      <c r="N31" s="7" t="s">
        <v>261</v>
      </c>
    </row>
    <row r="32" spans="2:14" x14ac:dyDescent="0.35">
      <c r="B32" s="5" t="s">
        <v>124</v>
      </c>
      <c r="C32" s="5" t="s">
        <v>125</v>
      </c>
      <c r="D32" s="5" t="s">
        <v>37</v>
      </c>
      <c r="E32" s="5">
        <v>4</v>
      </c>
      <c r="F32" s="6">
        <v>45303</v>
      </c>
      <c r="G32" s="5" t="s">
        <v>17</v>
      </c>
      <c r="H32" s="5" t="s">
        <v>126</v>
      </c>
      <c r="I32" s="5" t="s">
        <v>127</v>
      </c>
      <c r="J32" s="5" t="s">
        <v>40</v>
      </c>
      <c r="K32" s="5" t="s">
        <v>21</v>
      </c>
      <c r="L32" s="5">
        <v>34</v>
      </c>
      <c r="M32" s="5" t="s">
        <v>29</v>
      </c>
      <c r="N32" s="7" t="s">
        <v>261</v>
      </c>
    </row>
    <row r="33" spans="2:14" x14ac:dyDescent="0.35">
      <c r="B33" s="5" t="s">
        <v>128</v>
      </c>
      <c r="C33" s="5" t="s">
        <v>129</v>
      </c>
      <c r="D33" s="5" t="s">
        <v>54</v>
      </c>
      <c r="E33" s="5">
        <v>10</v>
      </c>
      <c r="F33" s="6">
        <v>45303</v>
      </c>
      <c r="G33" s="5" t="s">
        <v>17</v>
      </c>
      <c r="H33" s="5" t="s">
        <v>130</v>
      </c>
      <c r="I33" s="5" t="s">
        <v>33</v>
      </c>
      <c r="J33" s="5" t="s">
        <v>47</v>
      </c>
      <c r="K33" s="5" t="s">
        <v>41</v>
      </c>
      <c r="L33" s="5">
        <v>36</v>
      </c>
      <c r="M33" s="5" t="s">
        <v>29</v>
      </c>
      <c r="N33" s="7" t="s">
        <v>261</v>
      </c>
    </row>
    <row r="34" spans="2:14" x14ac:dyDescent="0.35">
      <c r="B34" s="5" t="s">
        <v>131</v>
      </c>
      <c r="C34" s="5" t="s">
        <v>132</v>
      </c>
      <c r="D34" s="5" t="s">
        <v>16</v>
      </c>
      <c r="E34" s="5">
        <v>8</v>
      </c>
      <c r="F34" s="6">
        <v>45304</v>
      </c>
      <c r="G34" s="5" t="s">
        <v>17</v>
      </c>
      <c r="H34" s="5" t="s">
        <v>133</v>
      </c>
      <c r="I34" s="5" t="s">
        <v>39</v>
      </c>
      <c r="J34" s="5" t="s">
        <v>28</v>
      </c>
      <c r="K34" s="5" t="s">
        <v>21</v>
      </c>
      <c r="L34" s="5">
        <v>9</v>
      </c>
      <c r="M34" s="5" t="s">
        <v>22</v>
      </c>
      <c r="N34" s="7" t="s">
        <v>261</v>
      </c>
    </row>
    <row r="35" spans="2:14" x14ac:dyDescent="0.35">
      <c r="B35" s="5" t="s">
        <v>134</v>
      </c>
      <c r="C35" s="5" t="s">
        <v>135</v>
      </c>
      <c r="D35" s="5" t="s">
        <v>25</v>
      </c>
      <c r="E35" s="5">
        <v>6</v>
      </c>
      <c r="F35" s="6">
        <v>45304</v>
      </c>
      <c r="G35" s="5" t="s">
        <v>17</v>
      </c>
      <c r="H35" s="5" t="s">
        <v>136</v>
      </c>
      <c r="I35" s="5" t="s">
        <v>137</v>
      </c>
      <c r="J35" s="5" t="s">
        <v>28</v>
      </c>
      <c r="K35" s="5" t="s">
        <v>21</v>
      </c>
      <c r="L35" s="5">
        <v>39</v>
      </c>
      <c r="M35" s="5" t="s">
        <v>51</v>
      </c>
      <c r="N35" s="7" t="s">
        <v>261</v>
      </c>
    </row>
    <row r="36" spans="2:14" x14ac:dyDescent="0.35">
      <c r="B36" s="5" t="s">
        <v>138</v>
      </c>
      <c r="C36" s="5" t="s">
        <v>139</v>
      </c>
      <c r="D36" s="5" t="s">
        <v>44</v>
      </c>
      <c r="E36" s="5">
        <v>7</v>
      </c>
      <c r="F36" s="6">
        <v>45305</v>
      </c>
      <c r="G36" s="5" t="s">
        <v>17</v>
      </c>
      <c r="H36" s="5" t="s">
        <v>140</v>
      </c>
      <c r="I36" s="5" t="s">
        <v>39</v>
      </c>
      <c r="J36" s="5" t="s">
        <v>40</v>
      </c>
      <c r="K36" s="5" t="s">
        <v>21</v>
      </c>
      <c r="L36" s="5">
        <v>17</v>
      </c>
      <c r="M36" s="5" t="s">
        <v>29</v>
      </c>
      <c r="N36" s="7" t="s">
        <v>261</v>
      </c>
    </row>
    <row r="37" spans="2:14" x14ac:dyDescent="0.35">
      <c r="B37" s="5" t="s">
        <v>141</v>
      </c>
      <c r="C37" s="5" t="s">
        <v>142</v>
      </c>
      <c r="D37" s="5" t="s">
        <v>54</v>
      </c>
      <c r="E37" s="5">
        <v>10</v>
      </c>
      <c r="F37" s="6">
        <v>45305</v>
      </c>
      <c r="G37" s="5" t="s">
        <v>17</v>
      </c>
      <c r="H37" s="5" t="s">
        <v>143</v>
      </c>
      <c r="I37" s="5" t="s">
        <v>79</v>
      </c>
      <c r="J37" s="5" t="s">
        <v>47</v>
      </c>
      <c r="K37" s="5" t="s">
        <v>21</v>
      </c>
      <c r="L37" s="5">
        <v>26</v>
      </c>
      <c r="M37" s="5" t="s">
        <v>29</v>
      </c>
      <c r="N37" s="7" t="s">
        <v>261</v>
      </c>
    </row>
    <row r="38" spans="2:14" x14ac:dyDescent="0.35">
      <c r="B38" s="5" t="s">
        <v>144</v>
      </c>
      <c r="C38" s="5" t="s">
        <v>145</v>
      </c>
      <c r="D38" s="5" t="s">
        <v>16</v>
      </c>
      <c r="E38" s="5">
        <v>6</v>
      </c>
      <c r="F38" s="6">
        <v>45306</v>
      </c>
      <c r="G38" s="5" t="s">
        <v>118</v>
      </c>
      <c r="H38" s="5" t="s">
        <v>146</v>
      </c>
      <c r="I38" s="5" t="s">
        <v>33</v>
      </c>
      <c r="J38" s="5" t="s">
        <v>20</v>
      </c>
      <c r="K38" s="5" t="s">
        <v>41</v>
      </c>
      <c r="L38" s="5">
        <v>35</v>
      </c>
      <c r="M38" s="5" t="s">
        <v>51</v>
      </c>
      <c r="N38" s="7" t="s">
        <v>261</v>
      </c>
    </row>
    <row r="39" spans="2:14" x14ac:dyDescent="0.35">
      <c r="B39" s="5" t="s">
        <v>147</v>
      </c>
      <c r="C39" s="5" t="s">
        <v>148</v>
      </c>
      <c r="D39" s="5" t="s">
        <v>25</v>
      </c>
      <c r="E39" s="5">
        <v>5</v>
      </c>
      <c r="F39" s="6">
        <v>45306</v>
      </c>
      <c r="G39" s="5" t="s">
        <v>55</v>
      </c>
      <c r="H39" s="5" t="s">
        <v>149</v>
      </c>
      <c r="I39" s="5" t="s">
        <v>123</v>
      </c>
      <c r="J39" s="5" t="s">
        <v>28</v>
      </c>
      <c r="K39" s="5" t="s">
        <v>41</v>
      </c>
      <c r="L39" s="5">
        <v>25</v>
      </c>
      <c r="M39" s="5" t="s">
        <v>22</v>
      </c>
      <c r="N39" s="7" t="s">
        <v>261</v>
      </c>
    </row>
    <row r="40" spans="2:14" x14ac:dyDescent="0.35">
      <c r="B40" s="5" t="s">
        <v>150</v>
      </c>
      <c r="C40" s="5" t="s">
        <v>151</v>
      </c>
      <c r="D40" s="5" t="s">
        <v>25</v>
      </c>
      <c r="E40" s="5">
        <v>3</v>
      </c>
      <c r="F40" s="6">
        <v>45307</v>
      </c>
      <c r="G40" s="5" t="s">
        <v>118</v>
      </c>
      <c r="H40" s="5" t="s">
        <v>122</v>
      </c>
      <c r="I40" s="5" t="s">
        <v>123</v>
      </c>
      <c r="J40" s="5" t="s">
        <v>20</v>
      </c>
      <c r="K40" s="5" t="s">
        <v>21</v>
      </c>
      <c r="L40" s="5">
        <v>35</v>
      </c>
      <c r="M40" s="5" t="s">
        <v>22</v>
      </c>
      <c r="N40" s="7" t="s">
        <v>261</v>
      </c>
    </row>
    <row r="41" spans="2:14" x14ac:dyDescent="0.35">
      <c r="B41" s="5" t="s">
        <v>152</v>
      </c>
      <c r="C41" s="5" t="s">
        <v>153</v>
      </c>
      <c r="D41" s="5" t="s">
        <v>25</v>
      </c>
      <c r="E41" s="5">
        <v>3</v>
      </c>
      <c r="F41" s="6">
        <v>45307</v>
      </c>
      <c r="G41" s="5" t="s">
        <v>17</v>
      </c>
      <c r="H41" s="5" t="s">
        <v>154</v>
      </c>
      <c r="I41" s="5" t="s">
        <v>33</v>
      </c>
      <c r="J41" s="5" t="s">
        <v>28</v>
      </c>
      <c r="K41" s="5" t="s">
        <v>21</v>
      </c>
      <c r="L41" s="5">
        <v>38</v>
      </c>
      <c r="M41" s="5" t="s">
        <v>51</v>
      </c>
      <c r="N41" s="7" t="s">
        <v>261</v>
      </c>
    </row>
    <row r="42" spans="2:14" x14ac:dyDescent="0.35">
      <c r="B42" s="5" t="s">
        <v>155</v>
      </c>
      <c r="C42" s="5" t="s">
        <v>156</v>
      </c>
      <c r="D42" s="5" t="s">
        <v>25</v>
      </c>
      <c r="E42" s="5">
        <v>3</v>
      </c>
      <c r="F42" s="6">
        <v>45308</v>
      </c>
      <c r="G42" s="5" t="s">
        <v>17</v>
      </c>
      <c r="H42" s="5" t="s">
        <v>157</v>
      </c>
      <c r="I42" s="5" t="s">
        <v>158</v>
      </c>
      <c r="J42" s="5" t="s">
        <v>47</v>
      </c>
      <c r="K42" s="5" t="s">
        <v>41</v>
      </c>
      <c r="L42" s="5">
        <v>14</v>
      </c>
      <c r="M42" s="5" t="s">
        <v>29</v>
      </c>
      <c r="N42" s="7" t="s">
        <v>261</v>
      </c>
    </row>
    <row r="43" spans="2:14" x14ac:dyDescent="0.35">
      <c r="B43" s="5" t="s">
        <v>159</v>
      </c>
      <c r="C43" s="5" t="s">
        <v>160</v>
      </c>
      <c r="D43" s="5" t="s">
        <v>25</v>
      </c>
      <c r="E43" s="5">
        <v>6</v>
      </c>
      <c r="F43" s="6">
        <v>45308</v>
      </c>
      <c r="G43" s="5" t="s">
        <v>17</v>
      </c>
      <c r="H43" s="5" t="s">
        <v>70</v>
      </c>
      <c r="I43" s="5" t="s">
        <v>71</v>
      </c>
      <c r="J43" s="5" t="s">
        <v>47</v>
      </c>
      <c r="K43" s="5" t="s">
        <v>21</v>
      </c>
      <c r="L43" s="5">
        <v>43</v>
      </c>
      <c r="M43" s="5" t="s">
        <v>29</v>
      </c>
      <c r="N43" s="7" t="s">
        <v>261</v>
      </c>
    </row>
    <row r="44" spans="2:14" x14ac:dyDescent="0.35">
      <c r="B44" s="5" t="s">
        <v>161</v>
      </c>
      <c r="C44" s="5" t="s">
        <v>162</v>
      </c>
      <c r="D44" s="5" t="s">
        <v>54</v>
      </c>
      <c r="E44" s="5">
        <v>9</v>
      </c>
      <c r="F44" s="6">
        <v>45309</v>
      </c>
      <c r="G44" s="5" t="s">
        <v>17</v>
      </c>
      <c r="H44" s="5" t="s">
        <v>163</v>
      </c>
      <c r="I44" s="5" t="s">
        <v>71</v>
      </c>
      <c r="J44" s="5" t="s">
        <v>28</v>
      </c>
      <c r="K44" s="5" t="s">
        <v>21</v>
      </c>
      <c r="L44" s="5">
        <v>43</v>
      </c>
      <c r="M44" s="5" t="s">
        <v>29</v>
      </c>
      <c r="N44" s="7" t="s">
        <v>261</v>
      </c>
    </row>
    <row r="45" spans="2:14" x14ac:dyDescent="0.35">
      <c r="B45" s="5" t="s">
        <v>164</v>
      </c>
      <c r="C45" s="5" t="s">
        <v>165</v>
      </c>
      <c r="D45" s="5" t="s">
        <v>16</v>
      </c>
      <c r="E45" s="5">
        <v>6</v>
      </c>
      <c r="F45" s="6">
        <v>45309</v>
      </c>
      <c r="G45" s="5" t="s">
        <v>17</v>
      </c>
      <c r="H45" s="5" t="s">
        <v>166</v>
      </c>
      <c r="I45" s="5" t="s">
        <v>46</v>
      </c>
      <c r="J45" s="5" t="s">
        <v>47</v>
      </c>
      <c r="K45" s="5" t="s">
        <v>21</v>
      </c>
      <c r="L45" s="5">
        <v>6</v>
      </c>
      <c r="M45" s="5" t="s">
        <v>51</v>
      </c>
      <c r="N45" s="7" t="s">
        <v>260</v>
      </c>
    </row>
    <row r="46" spans="2:14" x14ac:dyDescent="0.35">
      <c r="B46" s="5" t="s">
        <v>167</v>
      </c>
      <c r="C46" s="5" t="s">
        <v>168</v>
      </c>
      <c r="D46" s="5" t="s">
        <v>44</v>
      </c>
      <c r="E46" s="5">
        <v>7</v>
      </c>
      <c r="F46" s="6">
        <v>45310</v>
      </c>
      <c r="G46" s="5" t="s">
        <v>17</v>
      </c>
      <c r="H46" s="5" t="s">
        <v>169</v>
      </c>
      <c r="I46" s="5" t="s">
        <v>170</v>
      </c>
      <c r="J46" s="5" t="s">
        <v>40</v>
      </c>
      <c r="K46" s="5" t="s">
        <v>41</v>
      </c>
      <c r="L46" s="5">
        <v>41</v>
      </c>
      <c r="M46" s="5" t="s">
        <v>29</v>
      </c>
      <c r="N46" s="7" t="s">
        <v>260</v>
      </c>
    </row>
    <row r="47" spans="2:14" x14ac:dyDescent="0.35">
      <c r="B47" s="5" t="s">
        <v>171</v>
      </c>
      <c r="C47" s="5" t="s">
        <v>172</v>
      </c>
      <c r="D47" s="5" t="s">
        <v>25</v>
      </c>
      <c r="E47" s="5">
        <v>4</v>
      </c>
      <c r="F47" s="6">
        <v>45310</v>
      </c>
      <c r="G47" s="5" t="s">
        <v>55</v>
      </c>
      <c r="H47" s="5" t="s">
        <v>173</v>
      </c>
      <c r="I47" s="5" t="s">
        <v>174</v>
      </c>
      <c r="J47" s="5" t="s">
        <v>28</v>
      </c>
      <c r="K47" s="5" t="s">
        <v>21</v>
      </c>
      <c r="L47" s="5">
        <v>27</v>
      </c>
      <c r="M47" s="5" t="s">
        <v>51</v>
      </c>
      <c r="N47" s="7" t="s">
        <v>260</v>
      </c>
    </row>
    <row r="48" spans="2:14" x14ac:dyDescent="0.35">
      <c r="B48" s="5" t="s">
        <v>175</v>
      </c>
      <c r="C48" s="5" t="s">
        <v>176</v>
      </c>
      <c r="D48" s="5" t="s">
        <v>44</v>
      </c>
      <c r="E48" s="5">
        <v>7</v>
      </c>
      <c r="F48" s="6">
        <v>45311</v>
      </c>
      <c r="G48" s="5" t="s">
        <v>55</v>
      </c>
      <c r="H48" s="5" t="s">
        <v>177</v>
      </c>
      <c r="I48" s="5" t="s">
        <v>79</v>
      </c>
      <c r="J48" s="5" t="s">
        <v>28</v>
      </c>
      <c r="K48" s="5" t="s">
        <v>21</v>
      </c>
      <c r="L48" s="5">
        <v>9</v>
      </c>
      <c r="M48" s="5" t="s">
        <v>29</v>
      </c>
      <c r="N48" s="7" t="s">
        <v>260</v>
      </c>
    </row>
    <row r="49" spans="2:14" x14ac:dyDescent="0.35">
      <c r="B49" s="5" t="s">
        <v>178</v>
      </c>
      <c r="C49" s="5" t="s">
        <v>179</v>
      </c>
      <c r="D49" s="5" t="s">
        <v>37</v>
      </c>
      <c r="E49" s="5">
        <v>4</v>
      </c>
      <c r="F49" s="6">
        <v>45311</v>
      </c>
      <c r="G49" s="5" t="s">
        <v>55</v>
      </c>
      <c r="H49" s="5" t="s">
        <v>97</v>
      </c>
      <c r="I49" s="5" t="s">
        <v>98</v>
      </c>
      <c r="J49" s="5" t="s">
        <v>28</v>
      </c>
      <c r="K49" s="5" t="s">
        <v>21</v>
      </c>
      <c r="L49" s="5">
        <v>30</v>
      </c>
      <c r="M49" s="5" t="s">
        <v>29</v>
      </c>
      <c r="N49" s="7" t="s">
        <v>260</v>
      </c>
    </row>
    <row r="50" spans="2:14" x14ac:dyDescent="0.35">
      <c r="B50" s="5" t="s">
        <v>180</v>
      </c>
      <c r="C50" s="5" t="s">
        <v>181</v>
      </c>
      <c r="D50" s="5" t="s">
        <v>37</v>
      </c>
      <c r="E50" s="5">
        <v>2</v>
      </c>
      <c r="F50" s="6">
        <v>45312</v>
      </c>
      <c r="G50" s="5" t="s">
        <v>17</v>
      </c>
      <c r="H50" s="5" t="s">
        <v>182</v>
      </c>
      <c r="I50" s="5" t="s">
        <v>102</v>
      </c>
      <c r="J50" s="5" t="s">
        <v>20</v>
      </c>
      <c r="K50" s="5" t="s">
        <v>72</v>
      </c>
      <c r="L50" s="5">
        <v>36</v>
      </c>
      <c r="M50" s="5" t="s">
        <v>22</v>
      </c>
      <c r="N50" s="7" t="s">
        <v>260</v>
      </c>
    </row>
    <row r="51" spans="2:14" x14ac:dyDescent="0.35">
      <c r="B51" s="5" t="s">
        <v>183</v>
      </c>
      <c r="C51" s="5" t="s">
        <v>184</v>
      </c>
      <c r="D51" s="5" t="s">
        <v>25</v>
      </c>
      <c r="E51" s="5">
        <v>3</v>
      </c>
      <c r="F51" s="6">
        <v>45312</v>
      </c>
      <c r="G51" s="5" t="s">
        <v>55</v>
      </c>
      <c r="H51" s="5" t="s">
        <v>185</v>
      </c>
      <c r="I51" s="5" t="s">
        <v>186</v>
      </c>
      <c r="J51" s="5" t="s">
        <v>28</v>
      </c>
      <c r="K51" s="5" t="s">
        <v>72</v>
      </c>
      <c r="L51" s="5">
        <v>17</v>
      </c>
      <c r="M51" s="5" t="s">
        <v>51</v>
      </c>
      <c r="N51" s="7" t="s">
        <v>260</v>
      </c>
    </row>
    <row r="52" spans="2:14" x14ac:dyDescent="0.35">
      <c r="B52" s="5" t="s">
        <v>187</v>
      </c>
      <c r="C52" s="5" t="s">
        <v>188</v>
      </c>
      <c r="D52" s="5" t="s">
        <v>37</v>
      </c>
      <c r="E52" s="5">
        <v>4</v>
      </c>
      <c r="F52" s="6">
        <v>45313</v>
      </c>
      <c r="G52" s="5" t="s">
        <v>17</v>
      </c>
      <c r="H52" s="5" t="s">
        <v>38</v>
      </c>
      <c r="I52" s="5" t="s">
        <v>39</v>
      </c>
      <c r="J52" s="5" t="s">
        <v>47</v>
      </c>
      <c r="K52" s="5" t="s">
        <v>21</v>
      </c>
      <c r="L52" s="5">
        <v>38</v>
      </c>
      <c r="M52" s="5" t="s">
        <v>51</v>
      </c>
      <c r="N52" s="7" t="s">
        <v>260</v>
      </c>
    </row>
    <row r="53" spans="2:14" x14ac:dyDescent="0.35">
      <c r="B53" s="5" t="s">
        <v>189</v>
      </c>
      <c r="C53" s="5" t="s">
        <v>190</v>
      </c>
      <c r="D53" s="5" t="s">
        <v>37</v>
      </c>
      <c r="E53" s="5">
        <v>2</v>
      </c>
      <c r="F53" s="6">
        <v>45313</v>
      </c>
      <c r="G53" s="5" t="s">
        <v>118</v>
      </c>
      <c r="H53" s="5" t="s">
        <v>191</v>
      </c>
      <c r="I53" s="5" t="s">
        <v>71</v>
      </c>
      <c r="J53" s="5" t="s">
        <v>20</v>
      </c>
      <c r="K53" s="5" t="s">
        <v>21</v>
      </c>
      <c r="L53" s="5">
        <v>36</v>
      </c>
      <c r="M53" s="5" t="s">
        <v>29</v>
      </c>
      <c r="N53" s="7" t="s">
        <v>261</v>
      </c>
    </row>
    <row r="54" spans="2:14" x14ac:dyDescent="0.35">
      <c r="B54" s="5" t="s">
        <v>192</v>
      </c>
      <c r="C54" s="5" t="s">
        <v>193</v>
      </c>
      <c r="D54" s="5" t="s">
        <v>44</v>
      </c>
      <c r="E54" s="5">
        <v>9</v>
      </c>
      <c r="F54" s="6">
        <v>45314</v>
      </c>
      <c r="G54" s="5" t="s">
        <v>17</v>
      </c>
      <c r="H54" s="5" t="s">
        <v>194</v>
      </c>
      <c r="I54" s="5" t="s">
        <v>71</v>
      </c>
      <c r="J54" s="5" t="s">
        <v>20</v>
      </c>
      <c r="K54" s="5" t="s">
        <v>21</v>
      </c>
      <c r="L54" s="5">
        <v>38</v>
      </c>
      <c r="M54" s="5" t="s">
        <v>51</v>
      </c>
      <c r="N54" s="7" t="s">
        <v>261</v>
      </c>
    </row>
    <row r="55" spans="2:14" x14ac:dyDescent="0.35">
      <c r="B55" s="5" t="s">
        <v>195</v>
      </c>
      <c r="C55" s="5" t="s">
        <v>196</v>
      </c>
      <c r="D55" s="5" t="s">
        <v>25</v>
      </c>
      <c r="E55" s="5">
        <v>6</v>
      </c>
      <c r="F55" s="6">
        <v>45314</v>
      </c>
      <c r="G55" s="5" t="s">
        <v>17</v>
      </c>
      <c r="H55" s="5" t="s">
        <v>197</v>
      </c>
      <c r="I55" s="5" t="s">
        <v>198</v>
      </c>
      <c r="J55" s="5" t="s">
        <v>20</v>
      </c>
      <c r="K55" s="5" t="s">
        <v>21</v>
      </c>
      <c r="L55" s="5">
        <v>13</v>
      </c>
      <c r="M55" s="5" t="s">
        <v>51</v>
      </c>
      <c r="N55" s="7" t="s">
        <v>261</v>
      </c>
    </row>
    <row r="56" spans="2:14" x14ac:dyDescent="0.35">
      <c r="B56" s="5" t="s">
        <v>199</v>
      </c>
      <c r="C56" s="5" t="s">
        <v>200</v>
      </c>
      <c r="D56" s="5" t="s">
        <v>44</v>
      </c>
      <c r="E56" s="5">
        <v>8</v>
      </c>
      <c r="F56" s="6">
        <v>45315</v>
      </c>
      <c r="G56" s="5" t="s">
        <v>118</v>
      </c>
      <c r="H56" s="5" t="s">
        <v>201</v>
      </c>
      <c r="I56" s="5" t="s">
        <v>202</v>
      </c>
      <c r="J56" s="5" t="s">
        <v>20</v>
      </c>
      <c r="K56" s="5" t="s">
        <v>21</v>
      </c>
      <c r="L56" s="5">
        <v>42</v>
      </c>
      <c r="M56" s="5" t="s">
        <v>29</v>
      </c>
      <c r="N56" s="7" t="s">
        <v>261</v>
      </c>
    </row>
    <row r="57" spans="2:14" x14ac:dyDescent="0.35">
      <c r="B57" s="5" t="s">
        <v>203</v>
      </c>
      <c r="C57" s="5" t="s">
        <v>204</v>
      </c>
      <c r="D57" s="5" t="s">
        <v>16</v>
      </c>
      <c r="E57" s="5">
        <v>8</v>
      </c>
      <c r="F57" s="6">
        <v>45315</v>
      </c>
      <c r="G57" s="5" t="s">
        <v>118</v>
      </c>
      <c r="H57" s="5" t="s">
        <v>205</v>
      </c>
      <c r="I57" s="5" t="s">
        <v>206</v>
      </c>
      <c r="J57" s="5" t="s">
        <v>20</v>
      </c>
      <c r="K57" s="5" t="s">
        <v>21</v>
      </c>
      <c r="L57" s="5">
        <v>7</v>
      </c>
      <c r="M57" s="5" t="s">
        <v>51</v>
      </c>
      <c r="N57" s="7" t="s">
        <v>261</v>
      </c>
    </row>
    <row r="58" spans="2:14" x14ac:dyDescent="0.35">
      <c r="B58" s="5" t="s">
        <v>207</v>
      </c>
      <c r="C58" s="5" t="s">
        <v>208</v>
      </c>
      <c r="D58" s="5" t="s">
        <v>37</v>
      </c>
      <c r="E58" s="5">
        <v>4</v>
      </c>
      <c r="F58" s="6">
        <v>45315</v>
      </c>
      <c r="G58" s="5" t="s">
        <v>55</v>
      </c>
      <c r="H58" s="5" t="s">
        <v>209</v>
      </c>
      <c r="I58" s="5" t="s">
        <v>71</v>
      </c>
      <c r="J58" s="5" t="s">
        <v>28</v>
      </c>
      <c r="K58" s="5" t="s">
        <v>21</v>
      </c>
      <c r="L58" s="5">
        <v>30</v>
      </c>
      <c r="M58" s="5" t="s">
        <v>51</v>
      </c>
      <c r="N58" s="7" t="s">
        <v>261</v>
      </c>
    </row>
    <row r="59" spans="2:14" x14ac:dyDescent="0.35">
      <c r="B59" s="5" t="s">
        <v>210</v>
      </c>
      <c r="C59" s="5" t="s">
        <v>211</v>
      </c>
      <c r="D59" s="5" t="s">
        <v>25</v>
      </c>
      <c r="E59" s="5">
        <v>4</v>
      </c>
      <c r="F59" s="6">
        <v>45315</v>
      </c>
      <c r="G59" s="5" t="s">
        <v>118</v>
      </c>
      <c r="H59" s="5" t="s">
        <v>109</v>
      </c>
      <c r="I59" s="5" t="s">
        <v>39</v>
      </c>
      <c r="J59" s="5" t="s">
        <v>20</v>
      </c>
      <c r="K59" s="5" t="s">
        <v>72</v>
      </c>
      <c r="L59" s="5">
        <v>22</v>
      </c>
      <c r="M59" s="5" t="s">
        <v>51</v>
      </c>
      <c r="N59" s="7" t="s">
        <v>261</v>
      </c>
    </row>
    <row r="60" spans="2:14" x14ac:dyDescent="0.35">
      <c r="B60" s="5" t="s">
        <v>212</v>
      </c>
      <c r="C60" s="5" t="s">
        <v>213</v>
      </c>
      <c r="D60" s="5" t="s">
        <v>44</v>
      </c>
      <c r="E60" s="5">
        <v>7</v>
      </c>
      <c r="F60" s="6">
        <v>45316</v>
      </c>
      <c r="G60" s="5" t="s">
        <v>17</v>
      </c>
      <c r="H60" s="5" t="s">
        <v>214</v>
      </c>
      <c r="I60" s="5" t="s">
        <v>215</v>
      </c>
      <c r="J60" s="5" t="s">
        <v>28</v>
      </c>
      <c r="K60" s="5" t="s">
        <v>21</v>
      </c>
      <c r="L60" s="5">
        <v>8</v>
      </c>
      <c r="M60" s="5" t="s">
        <v>51</v>
      </c>
      <c r="N60" s="7" t="s">
        <v>261</v>
      </c>
    </row>
    <row r="61" spans="2:14" x14ac:dyDescent="0.35">
      <c r="B61" s="5" t="s">
        <v>216</v>
      </c>
      <c r="C61" s="5" t="s">
        <v>217</v>
      </c>
      <c r="D61" s="5" t="s">
        <v>37</v>
      </c>
      <c r="E61" s="5">
        <v>3</v>
      </c>
      <c r="F61" s="6">
        <v>45316</v>
      </c>
      <c r="G61" s="5" t="s">
        <v>17</v>
      </c>
      <c r="H61" s="5" t="s">
        <v>218</v>
      </c>
      <c r="I61" s="5" t="s">
        <v>198</v>
      </c>
      <c r="J61" s="5" t="s">
        <v>20</v>
      </c>
      <c r="K61" s="5" t="s">
        <v>72</v>
      </c>
      <c r="L61" s="5">
        <v>44</v>
      </c>
      <c r="M61" s="5" t="s">
        <v>51</v>
      </c>
      <c r="N61" s="7" t="s">
        <v>261</v>
      </c>
    </row>
    <row r="62" spans="2:14" x14ac:dyDescent="0.35">
      <c r="B62" s="5" t="s">
        <v>219</v>
      </c>
      <c r="C62" s="5" t="s">
        <v>220</v>
      </c>
      <c r="D62" s="5" t="s">
        <v>37</v>
      </c>
      <c r="E62" s="5">
        <v>1</v>
      </c>
      <c r="F62" s="6">
        <v>45317</v>
      </c>
      <c r="G62" s="5" t="s">
        <v>17</v>
      </c>
      <c r="H62" s="5" t="s">
        <v>157</v>
      </c>
      <c r="I62" s="5" t="s">
        <v>158</v>
      </c>
      <c r="J62" s="5" t="s">
        <v>20</v>
      </c>
      <c r="K62" s="5" t="s">
        <v>21</v>
      </c>
      <c r="L62" s="5">
        <v>34</v>
      </c>
      <c r="M62" s="5" t="s">
        <v>51</v>
      </c>
      <c r="N62" s="7" t="s">
        <v>261</v>
      </c>
    </row>
    <row r="63" spans="2:14" x14ac:dyDescent="0.35">
      <c r="B63" s="5" t="s">
        <v>221</v>
      </c>
      <c r="C63" s="5" t="s">
        <v>222</v>
      </c>
      <c r="D63" s="5" t="s">
        <v>25</v>
      </c>
      <c r="E63" s="5">
        <v>6</v>
      </c>
      <c r="F63" s="6">
        <v>45317</v>
      </c>
      <c r="G63" s="5" t="s">
        <v>17</v>
      </c>
      <c r="H63" s="5" t="s">
        <v>122</v>
      </c>
      <c r="I63" s="5" t="s">
        <v>123</v>
      </c>
      <c r="J63" s="5" t="s">
        <v>28</v>
      </c>
      <c r="K63" s="5" t="s">
        <v>21</v>
      </c>
      <c r="L63" s="5">
        <v>18</v>
      </c>
      <c r="M63" s="5" t="s">
        <v>29</v>
      </c>
      <c r="N63" s="7" t="s">
        <v>261</v>
      </c>
    </row>
    <row r="64" spans="2:14" x14ac:dyDescent="0.35">
      <c r="B64" s="5" t="s">
        <v>223</v>
      </c>
      <c r="C64" s="5" t="s">
        <v>224</v>
      </c>
      <c r="D64" s="5" t="s">
        <v>25</v>
      </c>
      <c r="E64" s="5">
        <v>4</v>
      </c>
      <c r="F64" s="6">
        <v>45318</v>
      </c>
      <c r="G64" s="5" t="s">
        <v>17</v>
      </c>
      <c r="H64" s="5" t="s">
        <v>225</v>
      </c>
      <c r="I64" s="5" t="s">
        <v>202</v>
      </c>
      <c r="J64" s="5" t="s">
        <v>40</v>
      </c>
      <c r="K64" s="5" t="s">
        <v>21</v>
      </c>
      <c r="L64" s="5">
        <v>23</v>
      </c>
      <c r="M64" s="5" t="s">
        <v>29</v>
      </c>
      <c r="N64" s="7" t="s">
        <v>260</v>
      </c>
    </row>
    <row r="65" spans="2:14" x14ac:dyDescent="0.35">
      <c r="B65" s="5" t="s">
        <v>226</v>
      </c>
      <c r="C65" s="5" t="s">
        <v>227</v>
      </c>
      <c r="D65" s="5" t="s">
        <v>16</v>
      </c>
      <c r="E65" s="5">
        <v>7</v>
      </c>
      <c r="F65" s="6">
        <v>45318</v>
      </c>
      <c r="G65" s="5" t="s">
        <v>17</v>
      </c>
      <c r="H65" s="5" t="s">
        <v>228</v>
      </c>
      <c r="I65" s="5" t="s">
        <v>198</v>
      </c>
      <c r="J65" s="5" t="s">
        <v>28</v>
      </c>
      <c r="K65" s="5" t="s">
        <v>21</v>
      </c>
      <c r="L65" s="5">
        <v>37</v>
      </c>
      <c r="M65" s="5" t="s">
        <v>29</v>
      </c>
      <c r="N65" s="7" t="s">
        <v>260</v>
      </c>
    </row>
    <row r="66" spans="2:14" x14ac:dyDescent="0.35">
      <c r="B66" s="5" t="s">
        <v>229</v>
      </c>
      <c r="C66" s="5" t="s">
        <v>230</v>
      </c>
      <c r="D66" s="5" t="s">
        <v>54</v>
      </c>
      <c r="E66" s="5">
        <v>9</v>
      </c>
      <c r="F66" s="6">
        <v>45319</v>
      </c>
      <c r="G66" s="5" t="s">
        <v>17</v>
      </c>
      <c r="H66" s="5" t="s">
        <v>231</v>
      </c>
      <c r="I66" s="5" t="s">
        <v>79</v>
      </c>
      <c r="J66" s="5" t="s">
        <v>47</v>
      </c>
      <c r="K66" s="5" t="s">
        <v>21</v>
      </c>
      <c r="L66" s="5">
        <v>14</v>
      </c>
      <c r="M66" s="5" t="s">
        <v>51</v>
      </c>
      <c r="N66" s="7" t="s">
        <v>260</v>
      </c>
    </row>
    <row r="67" spans="2:14" x14ac:dyDescent="0.35">
      <c r="B67" s="5" t="s">
        <v>232</v>
      </c>
      <c r="C67" s="5" t="s">
        <v>233</v>
      </c>
      <c r="D67" s="5" t="s">
        <v>25</v>
      </c>
      <c r="E67" s="5">
        <v>5</v>
      </c>
      <c r="F67" s="6">
        <v>45319</v>
      </c>
      <c r="G67" s="5" t="s">
        <v>17</v>
      </c>
      <c r="H67" s="5" t="s">
        <v>234</v>
      </c>
      <c r="I67" s="5" t="s">
        <v>186</v>
      </c>
      <c r="J67" s="5" t="s">
        <v>47</v>
      </c>
      <c r="K67" s="5" t="s">
        <v>21</v>
      </c>
      <c r="L67" s="5">
        <v>31</v>
      </c>
      <c r="M67" s="5" t="s">
        <v>34</v>
      </c>
      <c r="N67" s="7" t="s">
        <v>260</v>
      </c>
    </row>
    <row r="68" spans="2:14" x14ac:dyDescent="0.35">
      <c r="B68" s="5" t="s">
        <v>235</v>
      </c>
      <c r="C68" s="5" t="s">
        <v>236</v>
      </c>
      <c r="D68" s="5" t="s">
        <v>37</v>
      </c>
      <c r="E68" s="5">
        <v>1</v>
      </c>
      <c r="F68" s="6">
        <v>45320</v>
      </c>
      <c r="G68" s="5" t="s">
        <v>55</v>
      </c>
      <c r="H68" s="5" t="s">
        <v>237</v>
      </c>
      <c r="I68" s="5" t="s">
        <v>198</v>
      </c>
      <c r="J68" s="5" t="s">
        <v>28</v>
      </c>
      <c r="K68" s="5" t="s">
        <v>21</v>
      </c>
      <c r="L68" s="5">
        <v>10</v>
      </c>
      <c r="M68" s="5" t="s">
        <v>34</v>
      </c>
      <c r="N68" s="7" t="s">
        <v>260</v>
      </c>
    </row>
    <row r="69" spans="2:14" x14ac:dyDescent="0.35">
      <c r="B69" s="5" t="s">
        <v>238</v>
      </c>
      <c r="C69" s="5" t="s">
        <v>239</v>
      </c>
      <c r="D69" s="5" t="s">
        <v>25</v>
      </c>
      <c r="E69" s="5">
        <v>3</v>
      </c>
      <c r="F69" s="6">
        <v>45320</v>
      </c>
      <c r="G69" s="5" t="s">
        <v>17</v>
      </c>
      <c r="H69" s="5" t="s">
        <v>240</v>
      </c>
      <c r="I69" s="5" t="s">
        <v>33</v>
      </c>
      <c r="J69" s="5" t="s">
        <v>20</v>
      </c>
      <c r="K69" s="5" t="s">
        <v>72</v>
      </c>
      <c r="L69" s="5">
        <v>45</v>
      </c>
      <c r="M69" s="5" t="s">
        <v>51</v>
      </c>
      <c r="N69" s="7" t="s">
        <v>260</v>
      </c>
    </row>
    <row r="70" spans="2:14" x14ac:dyDescent="0.35">
      <c r="B70" s="5" t="s">
        <v>241</v>
      </c>
      <c r="C70" s="5" t="s">
        <v>242</v>
      </c>
      <c r="D70" s="5" t="s">
        <v>25</v>
      </c>
      <c r="E70" s="5">
        <v>5</v>
      </c>
      <c r="F70" s="6">
        <v>45320</v>
      </c>
      <c r="G70" s="5" t="s">
        <v>17</v>
      </c>
      <c r="H70" s="5" t="s">
        <v>59</v>
      </c>
      <c r="I70" s="5" t="s">
        <v>60</v>
      </c>
      <c r="J70" s="5" t="s">
        <v>40</v>
      </c>
      <c r="K70" s="5" t="s">
        <v>21</v>
      </c>
      <c r="L70" s="5">
        <v>8</v>
      </c>
      <c r="M70" s="5" t="s">
        <v>34</v>
      </c>
      <c r="N70" s="7" t="s">
        <v>260</v>
      </c>
    </row>
    <row r="71" spans="2:14" x14ac:dyDescent="0.35">
      <c r="B71" s="5" t="s">
        <v>243</v>
      </c>
      <c r="C71" s="5" t="s">
        <v>244</v>
      </c>
      <c r="D71" s="5" t="s">
        <v>44</v>
      </c>
      <c r="E71" s="5">
        <v>8</v>
      </c>
      <c r="F71" s="6">
        <v>45320</v>
      </c>
      <c r="G71" s="5" t="s">
        <v>17</v>
      </c>
      <c r="H71" s="5" t="s">
        <v>245</v>
      </c>
      <c r="I71" s="5" t="s">
        <v>71</v>
      </c>
      <c r="J71" s="5" t="s">
        <v>40</v>
      </c>
      <c r="K71" s="5" t="s">
        <v>41</v>
      </c>
      <c r="L71" s="5">
        <v>35</v>
      </c>
      <c r="M71" s="5" t="s">
        <v>29</v>
      </c>
      <c r="N71" s="7" t="s">
        <v>260</v>
      </c>
    </row>
    <row r="72" spans="2:14" x14ac:dyDescent="0.35">
      <c r="B72" s="5" t="s">
        <v>246</v>
      </c>
      <c r="C72" s="5" t="s">
        <v>247</v>
      </c>
      <c r="D72" s="5" t="s">
        <v>54</v>
      </c>
      <c r="E72" s="5">
        <v>9</v>
      </c>
      <c r="F72" s="6">
        <v>45320</v>
      </c>
      <c r="G72" s="5" t="s">
        <v>55</v>
      </c>
      <c r="H72" s="5" t="s">
        <v>112</v>
      </c>
      <c r="I72" s="5" t="s">
        <v>33</v>
      </c>
      <c r="J72" s="5" t="s">
        <v>28</v>
      </c>
      <c r="K72" s="5" t="s">
        <v>21</v>
      </c>
      <c r="L72" s="5">
        <v>33</v>
      </c>
      <c r="M72" s="5" t="s">
        <v>29</v>
      </c>
      <c r="N72" s="7" t="s">
        <v>260</v>
      </c>
    </row>
    <row r="73" spans="2:14" x14ac:dyDescent="0.35">
      <c r="B73" s="5" t="s">
        <v>248</v>
      </c>
      <c r="C73" s="5" t="s">
        <v>249</v>
      </c>
      <c r="D73" s="5" t="s">
        <v>16</v>
      </c>
      <c r="E73" s="5">
        <v>8</v>
      </c>
      <c r="F73" s="6">
        <v>45321</v>
      </c>
      <c r="G73" s="5" t="s">
        <v>55</v>
      </c>
      <c r="H73" s="5" t="s">
        <v>197</v>
      </c>
      <c r="I73" s="5" t="s">
        <v>198</v>
      </c>
      <c r="J73" s="5" t="s">
        <v>28</v>
      </c>
      <c r="K73" s="5" t="s">
        <v>21</v>
      </c>
      <c r="L73" s="5">
        <v>8</v>
      </c>
      <c r="M73" s="5" t="s">
        <v>51</v>
      </c>
      <c r="N73" s="7" t="s">
        <v>260</v>
      </c>
    </row>
    <row r="74" spans="2:14" x14ac:dyDescent="0.35">
      <c r="B74" s="5" t="s">
        <v>250</v>
      </c>
      <c r="C74" s="5" t="s">
        <v>251</v>
      </c>
      <c r="D74" s="5" t="s">
        <v>25</v>
      </c>
      <c r="E74" s="5">
        <v>3</v>
      </c>
      <c r="F74" s="6">
        <v>45321</v>
      </c>
      <c r="G74" s="5" t="s">
        <v>17</v>
      </c>
      <c r="H74" s="5" t="s">
        <v>252</v>
      </c>
      <c r="I74" s="5" t="s">
        <v>253</v>
      </c>
      <c r="J74" s="5" t="s">
        <v>47</v>
      </c>
      <c r="K74" s="5" t="s">
        <v>21</v>
      </c>
      <c r="L74" s="5">
        <v>19</v>
      </c>
      <c r="M74" s="5" t="s">
        <v>51</v>
      </c>
      <c r="N74" s="7" t="s">
        <v>260</v>
      </c>
    </row>
    <row r="75" spans="2:14" x14ac:dyDescent="0.35">
      <c r="B75" s="5" t="s">
        <v>254</v>
      </c>
      <c r="C75" s="5" t="s">
        <v>255</v>
      </c>
      <c r="D75" s="5" t="s">
        <v>25</v>
      </c>
      <c r="E75" s="5">
        <v>3</v>
      </c>
      <c r="F75" s="6">
        <v>45322</v>
      </c>
      <c r="G75" s="5" t="s">
        <v>17</v>
      </c>
      <c r="H75" s="5" t="s">
        <v>252</v>
      </c>
      <c r="I75" s="5" t="s">
        <v>256</v>
      </c>
      <c r="J75" s="5" t="s">
        <v>47</v>
      </c>
      <c r="K75" s="5" t="s">
        <v>21</v>
      </c>
      <c r="L75" s="5">
        <v>23</v>
      </c>
      <c r="M75" s="5" t="s">
        <v>29</v>
      </c>
      <c r="N75" s="7" t="s">
        <v>260</v>
      </c>
    </row>
    <row r="76" spans="2:14" x14ac:dyDescent="0.35">
      <c r="B76" s="5" t="s">
        <v>257</v>
      </c>
      <c r="C76" s="5" t="s">
        <v>258</v>
      </c>
      <c r="D76" s="5" t="s">
        <v>25</v>
      </c>
      <c r="E76" s="5">
        <v>5</v>
      </c>
      <c r="F76" s="6">
        <v>45322</v>
      </c>
      <c r="G76" s="5" t="s">
        <v>118</v>
      </c>
      <c r="H76" s="5" t="s">
        <v>101</v>
      </c>
      <c r="I76" s="5" t="s">
        <v>102</v>
      </c>
      <c r="J76" s="5" t="s">
        <v>20</v>
      </c>
      <c r="K76" s="5" t="s">
        <v>41</v>
      </c>
      <c r="L76" s="5">
        <v>35</v>
      </c>
      <c r="M76" s="5" t="s">
        <v>29</v>
      </c>
      <c r="N76" s="7" t="s">
        <v>260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10BD-6B33-4FAC-9CEB-DD1F06CDBC1B}">
  <dimension ref="A4:D25"/>
  <sheetViews>
    <sheetView topLeftCell="B25" workbookViewId="0">
      <selection activeCell="Z8" sqref="Z8"/>
    </sheetView>
  </sheetViews>
  <sheetFormatPr defaultRowHeight="14.5" x14ac:dyDescent="0.35"/>
  <cols>
    <col min="1" max="1" width="12.36328125" bestFit="1" customWidth="1"/>
    <col min="2" max="2" width="15.453125" bestFit="1" customWidth="1"/>
    <col min="3" max="3" width="12.1796875" customWidth="1"/>
    <col min="4" max="4" width="10.26953125" customWidth="1"/>
    <col min="5" max="5" width="11.08984375" customWidth="1"/>
    <col min="6" max="28" width="3.1796875" customWidth="1"/>
    <col min="29" max="29" width="11.08984375" customWidth="1"/>
  </cols>
  <sheetData>
    <row r="4" spans="1:4" x14ac:dyDescent="0.35">
      <c r="A4" s="9" t="s">
        <v>262</v>
      </c>
      <c r="B4" t="s">
        <v>264</v>
      </c>
      <c r="C4" s="10" t="s">
        <v>72</v>
      </c>
      <c r="D4">
        <v>287</v>
      </c>
    </row>
    <row r="5" spans="1:4" x14ac:dyDescent="0.35">
      <c r="A5" s="10" t="s">
        <v>123</v>
      </c>
      <c r="B5" s="14">
        <v>4</v>
      </c>
      <c r="C5" s="10" t="s">
        <v>41</v>
      </c>
      <c r="D5">
        <v>286</v>
      </c>
    </row>
    <row r="6" spans="1:4" x14ac:dyDescent="0.35">
      <c r="A6" s="10" t="s">
        <v>263</v>
      </c>
      <c r="B6" s="14">
        <v>4</v>
      </c>
      <c r="C6" s="10" t="s">
        <v>21</v>
      </c>
      <c r="D6">
        <v>1265</v>
      </c>
    </row>
    <row r="7" spans="1:4" x14ac:dyDescent="0.35">
      <c r="C7" s="10" t="s">
        <v>263</v>
      </c>
      <c r="D7">
        <v>1838</v>
      </c>
    </row>
    <row r="10" spans="1:4" x14ac:dyDescent="0.35">
      <c r="A10" s="9" t="s">
        <v>262</v>
      </c>
      <c r="B10" t="s">
        <v>266</v>
      </c>
    </row>
    <row r="11" spans="1:4" x14ac:dyDescent="0.35">
      <c r="A11" s="10" t="s">
        <v>17</v>
      </c>
      <c r="B11">
        <v>50</v>
      </c>
    </row>
    <row r="12" spans="1:4" x14ac:dyDescent="0.35">
      <c r="A12" s="10" t="s">
        <v>55</v>
      </c>
      <c r="B12">
        <v>12</v>
      </c>
    </row>
    <row r="13" spans="1:4" x14ac:dyDescent="0.35">
      <c r="A13" s="10" t="s">
        <v>118</v>
      </c>
      <c r="B13">
        <v>8</v>
      </c>
    </row>
    <row r="14" spans="1:4" x14ac:dyDescent="0.35">
      <c r="A14" s="10" t="s">
        <v>263</v>
      </c>
      <c r="B14">
        <v>70</v>
      </c>
    </row>
    <row r="20" spans="1:2" x14ac:dyDescent="0.35">
      <c r="A20" s="10" t="s">
        <v>72</v>
      </c>
      <c r="B20">
        <v>8</v>
      </c>
    </row>
    <row r="21" spans="1:2" x14ac:dyDescent="0.35">
      <c r="A21" s="10" t="s">
        <v>41</v>
      </c>
      <c r="B21">
        <v>9</v>
      </c>
    </row>
    <row r="22" spans="1:2" x14ac:dyDescent="0.35">
      <c r="A22" s="10" t="s">
        <v>21</v>
      </c>
      <c r="B22">
        <v>53</v>
      </c>
    </row>
    <row r="24" spans="1:2" x14ac:dyDescent="0.35">
      <c r="A24" s="9" t="s">
        <v>267</v>
      </c>
      <c r="B24" t="s">
        <v>265</v>
      </c>
    </row>
    <row r="25" spans="1:2" x14ac:dyDescent="0.35">
      <c r="A25">
        <v>373</v>
      </c>
      <c r="B25">
        <v>1838</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F5958-2EC1-4BDF-BDB9-FFBD77731BF6}">
  <sheetPr>
    <tabColor theme="6" tint="0.39997558519241921"/>
  </sheetPr>
  <dimension ref="G1:N8"/>
  <sheetViews>
    <sheetView tabSelected="1" topLeftCell="A21" zoomScaleNormal="100" workbookViewId="0">
      <selection activeCell="J18" sqref="J18"/>
    </sheetView>
  </sheetViews>
  <sheetFormatPr defaultRowHeight="14.5" x14ac:dyDescent="0.35"/>
  <cols>
    <col min="1" max="1" width="0.1796875" style="8" customWidth="1"/>
    <col min="2" max="16384" width="8.7265625" style="8"/>
  </cols>
  <sheetData>
    <row r="1" spans="7:14" ht="2" customHeight="1" x14ac:dyDescent="0.35"/>
    <row r="2" spans="7:14" hidden="1" x14ac:dyDescent="0.35"/>
    <row r="4" spans="7:14" x14ac:dyDescent="0.35">
      <c r="L4" s="12"/>
    </row>
    <row r="5" spans="7:14" ht="15.5" x14ac:dyDescent="0.35">
      <c r="I5" s="11"/>
      <c r="J5" s="11"/>
      <c r="K5" s="11"/>
      <c r="L5" s="11"/>
      <c r="M5" s="11"/>
      <c r="N5" s="11"/>
    </row>
    <row r="6" spans="7:14" ht="15.5" x14ac:dyDescent="0.35">
      <c r="I6" s="13"/>
      <c r="J6" s="13"/>
      <c r="K6" s="13"/>
      <c r="L6" s="13"/>
      <c r="M6" s="13"/>
      <c r="N6" s="11"/>
    </row>
    <row r="7" spans="7:14" ht="15.5" x14ac:dyDescent="0.35">
      <c r="I7" s="13"/>
      <c r="J7" s="13"/>
      <c r="K7" s="13"/>
      <c r="L7" s="13"/>
      <c r="M7" s="13"/>
      <c r="N7" s="11"/>
    </row>
    <row r="8" spans="7:14" x14ac:dyDescent="0.35">
      <c r="I8" s="13"/>
      <c r="J8" s="13"/>
      <c r="K8" s="13"/>
      <c r="L8" s="13"/>
      <c r="M8" s="13"/>
    </row>
  </sheetData>
  <mergeCells count="1">
    <mergeCell ref="I6:M8"/>
  </mergeCells>
  <pageMargins left="0.25" right="0.25"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Call Center Data</vt:lpstr>
      <vt:lpstr>Sheet3</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HP ZBOOK 15 G3</cp:lastModifiedBy>
  <dcterms:created xsi:type="dcterms:W3CDTF">2024-02-19T11:52:50Z</dcterms:created>
  <dcterms:modified xsi:type="dcterms:W3CDTF">2025-10-15T03:25:21Z</dcterms:modified>
</cp:coreProperties>
</file>