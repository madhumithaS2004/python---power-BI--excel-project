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 ZBOOK 15 G3\Downloads\"/>
    </mc:Choice>
  </mc:AlternateContent>
  <xr:revisionPtr revIDLastSave="0" documentId="8_{3477F85B-B7F3-4655-9D1B-50C3C6622927}" xr6:coauthVersionLast="47" xr6:coauthVersionMax="47" xr10:uidLastSave="{00000000-0000-0000-0000-000000000000}"/>
  <bookViews>
    <workbookView xWindow="-110" yWindow="-110" windowWidth="19420" windowHeight="10300" activeTab="1" xr2:uid="{00000000-000D-0000-FFFF-FFFF00000000}"/>
  </bookViews>
  <sheets>
    <sheet name="Dataset" sheetId="1" r:id="rId1"/>
    <sheet name="Dashboard" sheetId="2" r:id="rId2"/>
    <sheet name="Sheet3" sheetId="6" r:id="rId3"/>
  </sheets>
  <definedNames>
    <definedName name="_xlcn.WorksheetConnection_Finance_Analytics_Dashboard_Dark.xlsxFinanceData1" hidden="1">FinanceData[]</definedName>
    <definedName name="Slicer_Year">#N/A</definedName>
  </definedNames>
  <calcPr calcId="191029"/>
  <pivotCaches>
    <pivotCache cacheId="0" r:id="rId4"/>
  </pivotCaches>
  <extLst>
    <ext xmlns:x14="http://schemas.microsoft.com/office/spreadsheetml/2009/9/main" uri="{876F7934-8845-4945-9796-88D515C7AA90}">
      <x14:pivotCaches>
        <pivotCache cacheId="1"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inanceData" name="FinanceData" connection="WorksheetConnection_Finance_Analytics_Dashboard_Dark.xlsx!Finance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2" l="1"/>
  <c r="G4" i="2"/>
  <c r="E4" i="2"/>
  <c r="C4" i="2"/>
  <c r="A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EE24BC-5891-4D48-9A06-7396381BBD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2E6AC89-12CC-441E-AB78-332CE6FCFDAC}" name="WorksheetConnection_Finance_Analytics_Dashboard_Dark.xlsx!FinanceData" type="102" refreshedVersion="8" minRefreshableVersion="5">
    <extLst>
      <ext xmlns:x15="http://schemas.microsoft.com/office/spreadsheetml/2010/11/main" uri="{DE250136-89BD-433C-8126-D09CA5730AF9}">
        <x15:connection id="FinanceData" autoDelete="1">
          <x15:rangePr sourceName="_xlcn.WorksheetConnection_Finance_Analytics_Dashboard_Dark.xlsxFinanceData1"/>
        </x15:connection>
      </ext>
    </extLst>
  </connection>
</connections>
</file>

<file path=xl/sharedStrings.xml><?xml version="1.0" encoding="utf-8"?>
<sst xmlns="http://schemas.openxmlformats.org/spreadsheetml/2006/main" count="10060" uniqueCount="2468">
  <si>
    <t>TransactionID</t>
  </si>
  <si>
    <t>Date</t>
  </si>
  <si>
    <t>Region</t>
  </si>
  <si>
    <t>Branch</t>
  </si>
  <si>
    <t>Category</t>
  </si>
  <si>
    <t>SubCategory</t>
  </si>
  <si>
    <t>PaymentMode</t>
  </si>
  <si>
    <t>Amount</t>
  </si>
  <si>
    <t>ProfitLoss</t>
  </si>
  <si>
    <t>AccountManager</t>
  </si>
  <si>
    <t>Quarter</t>
  </si>
  <si>
    <t>Year</t>
  </si>
  <si>
    <t>CustomerID</t>
  </si>
  <si>
    <t>T10000</t>
  </si>
  <si>
    <t>2021-02-09</t>
  </si>
  <si>
    <t>West</t>
  </si>
  <si>
    <t>Mumbai</t>
  </si>
  <si>
    <t>Expense</t>
  </si>
  <si>
    <t>Travel</t>
  </si>
  <si>
    <t>UPI</t>
  </si>
  <si>
    <t>David</t>
  </si>
  <si>
    <t>Q1</t>
  </si>
  <si>
    <t>C219</t>
  </si>
  <si>
    <t>T10001</t>
  </si>
  <si>
    <t>2022-04-06</t>
  </si>
  <si>
    <t>North</t>
  </si>
  <si>
    <t>Delhi</t>
  </si>
  <si>
    <t>Investment</t>
  </si>
  <si>
    <t>Mutual Funds</t>
  </si>
  <si>
    <t>Ravi</t>
  </si>
  <si>
    <t>Q2</t>
  </si>
  <si>
    <t>C434</t>
  </si>
  <si>
    <t>T10002</t>
  </si>
  <si>
    <t>2024-01-12</t>
  </si>
  <si>
    <t>Revenue</t>
  </si>
  <si>
    <t>Sales</t>
  </si>
  <si>
    <t>Credit Card</t>
  </si>
  <si>
    <t>C997</t>
  </si>
  <si>
    <t>T10003</t>
  </si>
  <si>
    <t>2024-01-24</t>
  </si>
  <si>
    <t>South</t>
  </si>
  <si>
    <t>Chennai</t>
  </si>
  <si>
    <t>Office Supplies</t>
  </si>
  <si>
    <t>C188</t>
  </si>
  <si>
    <t>T10004</t>
  </si>
  <si>
    <t>2023-07-18</t>
  </si>
  <si>
    <t>Ahmedabad</t>
  </si>
  <si>
    <t>Karan</t>
  </si>
  <si>
    <t>Q3</t>
  </si>
  <si>
    <t>C814</t>
  </si>
  <si>
    <t>T10005</t>
  </si>
  <si>
    <t>2025-12-12</t>
  </si>
  <si>
    <t>Salary</t>
  </si>
  <si>
    <t>Q4</t>
  </si>
  <si>
    <t>C609</t>
  </si>
  <si>
    <t>T10006</t>
  </si>
  <si>
    <t>2023-09-12</t>
  </si>
  <si>
    <t>Pune</t>
  </si>
  <si>
    <t>Service</t>
  </si>
  <si>
    <t>Arun</t>
  </si>
  <si>
    <t>C878</t>
  </si>
  <si>
    <t>T10007</t>
  </si>
  <si>
    <t>2022-09-19</t>
  </si>
  <si>
    <t>C604</t>
  </si>
  <si>
    <t>T10008</t>
  </si>
  <si>
    <t>2025-03-08</t>
  </si>
  <si>
    <t>Coimbatore</t>
  </si>
  <si>
    <t>Commission</t>
  </si>
  <si>
    <t>Cash</t>
  </si>
  <si>
    <t>C419</t>
  </si>
  <si>
    <t>T10009</t>
  </si>
  <si>
    <t>2025-06-07</t>
  </si>
  <si>
    <t>Utilities</t>
  </si>
  <si>
    <t>C921</t>
  </si>
  <si>
    <t>T10010</t>
  </si>
  <si>
    <t>2025-03-09</t>
  </si>
  <si>
    <t>East</t>
  </si>
  <si>
    <t>Agartala</t>
  </si>
  <si>
    <t>Bank Transfer</t>
  </si>
  <si>
    <t>Sneha</t>
  </si>
  <si>
    <t>C470</t>
  </si>
  <si>
    <t>T10011</t>
  </si>
  <si>
    <t>2023-07-29</t>
  </si>
  <si>
    <t>Chandigarh</t>
  </si>
  <si>
    <t>C248</t>
  </si>
  <si>
    <t>T10012</t>
  </si>
  <si>
    <t>2025-04-08</t>
  </si>
  <si>
    <t>C726</t>
  </si>
  <si>
    <t>T10013</t>
  </si>
  <si>
    <t>2023-06-13</t>
  </si>
  <si>
    <t>C576</t>
  </si>
  <si>
    <t>T10014</t>
  </si>
  <si>
    <t>2022-08-31</t>
  </si>
  <si>
    <t>C916</t>
  </si>
  <si>
    <t>T10015</t>
  </si>
  <si>
    <t>2021-02-02</t>
  </si>
  <si>
    <t>Bangalore</t>
  </si>
  <si>
    <t>Anita</t>
  </si>
  <si>
    <t>C828</t>
  </si>
  <si>
    <t>T10016</t>
  </si>
  <si>
    <t>2024-10-11</t>
  </si>
  <si>
    <t>Subscription</t>
  </si>
  <si>
    <t>C881</t>
  </si>
  <si>
    <t>T10017</t>
  </si>
  <si>
    <t>2022-12-09</t>
  </si>
  <si>
    <t>Bhubaneswar</t>
  </si>
  <si>
    <t>C552</t>
  </si>
  <si>
    <t>T10018</t>
  </si>
  <si>
    <t>2022-04-13</t>
  </si>
  <si>
    <t>C608</t>
  </si>
  <si>
    <t>T10019</t>
  </si>
  <si>
    <t>2022-08-05</t>
  </si>
  <si>
    <t>Marketing</t>
  </si>
  <si>
    <t>Priya</t>
  </si>
  <si>
    <t>C367</t>
  </si>
  <si>
    <t>T10020</t>
  </si>
  <si>
    <t>2025-06-28</t>
  </si>
  <si>
    <t>C852</t>
  </si>
  <si>
    <t>T10021</t>
  </si>
  <si>
    <t>2021-05-12</t>
  </si>
  <si>
    <t>C834</t>
  </si>
  <si>
    <t>T10022</t>
  </si>
  <si>
    <t>2025-07-22</t>
  </si>
  <si>
    <t>C421</t>
  </si>
  <si>
    <t>T10023</t>
  </si>
  <si>
    <t>2023-07-21</t>
  </si>
  <si>
    <t>C639</t>
  </si>
  <si>
    <t>T10024</t>
  </si>
  <si>
    <t>2025-08-11</t>
  </si>
  <si>
    <t>C440</t>
  </si>
  <si>
    <t>T10025</t>
  </si>
  <si>
    <t>2021-08-17</t>
  </si>
  <si>
    <t>C359</t>
  </si>
  <si>
    <t>T10026</t>
  </si>
  <si>
    <t>2025-07-11</t>
  </si>
  <si>
    <t>C197</t>
  </si>
  <si>
    <t>T10027</t>
  </si>
  <si>
    <t>2023-06-24</t>
  </si>
  <si>
    <t>Loan</t>
  </si>
  <si>
    <t>Loan Repayment</t>
  </si>
  <si>
    <t>C417</t>
  </si>
  <si>
    <t>T10028</t>
  </si>
  <si>
    <t>2024-03-26</t>
  </si>
  <si>
    <t>C619</t>
  </si>
  <si>
    <t>T10029</t>
  </si>
  <si>
    <t>2023-07-05</t>
  </si>
  <si>
    <t>C148</t>
  </si>
  <si>
    <t>T10030</t>
  </si>
  <si>
    <t>2024-03-21</t>
  </si>
  <si>
    <t>Lucknow</t>
  </si>
  <si>
    <t>C569</t>
  </si>
  <si>
    <t>T10031</t>
  </si>
  <si>
    <t>2023-01-03</t>
  </si>
  <si>
    <t>C249</t>
  </si>
  <si>
    <t>T10032</t>
  </si>
  <si>
    <t>2021-05-23</t>
  </si>
  <si>
    <t>C335</t>
  </si>
  <si>
    <t>T10033</t>
  </si>
  <si>
    <t>2023-01-21</t>
  </si>
  <si>
    <t>C274</t>
  </si>
  <si>
    <t>T10034</t>
  </si>
  <si>
    <t>2025-01-06</t>
  </si>
  <si>
    <t>C827</t>
  </si>
  <si>
    <t>T10035</t>
  </si>
  <si>
    <t>2022-12-12</t>
  </si>
  <si>
    <t>C596</t>
  </si>
  <si>
    <t>T10036</t>
  </si>
  <si>
    <t>2022-06-10</t>
  </si>
  <si>
    <t>C583</t>
  </si>
  <si>
    <t>T10037</t>
  </si>
  <si>
    <t>2023-01-14</t>
  </si>
  <si>
    <t>Kolkata</t>
  </si>
  <si>
    <t>C799</t>
  </si>
  <si>
    <t>T10038</t>
  </si>
  <si>
    <t>2024-04-24</t>
  </si>
  <si>
    <t>C149</t>
  </si>
  <si>
    <t>T10039</t>
  </si>
  <si>
    <t>2021-01-12</t>
  </si>
  <si>
    <t>C167</t>
  </si>
  <si>
    <t>T10040</t>
  </si>
  <si>
    <t>2025-01-02</t>
  </si>
  <si>
    <t>C559</t>
  </si>
  <si>
    <t>T10041</t>
  </si>
  <si>
    <t>2022-11-03</t>
  </si>
  <si>
    <t>C256</t>
  </si>
  <si>
    <t>T10042</t>
  </si>
  <si>
    <t>2024-11-14</t>
  </si>
  <si>
    <t>C304</t>
  </si>
  <si>
    <t>T10043</t>
  </si>
  <si>
    <t>2023-06-29</t>
  </si>
  <si>
    <t>C163</t>
  </si>
  <si>
    <t>T10044</t>
  </si>
  <si>
    <t>2021-11-17</t>
  </si>
  <si>
    <t>C409</t>
  </si>
  <si>
    <t>T10045</t>
  </si>
  <si>
    <t>C759</t>
  </si>
  <si>
    <t>T10046</t>
  </si>
  <si>
    <t>2024-11-12</t>
  </si>
  <si>
    <t>C200</t>
  </si>
  <si>
    <t>T10047</t>
  </si>
  <si>
    <t>2022-05-20</t>
  </si>
  <si>
    <t>C893</t>
  </si>
  <si>
    <t>T10048</t>
  </si>
  <si>
    <t>2024-06-13</t>
  </si>
  <si>
    <t>FD</t>
  </si>
  <si>
    <t>C573</t>
  </si>
  <si>
    <t>T10049</t>
  </si>
  <si>
    <t>2023-02-26</t>
  </si>
  <si>
    <t>Loan Disbursement</t>
  </si>
  <si>
    <t>C229</t>
  </si>
  <si>
    <t>T10050</t>
  </si>
  <si>
    <t>2021-08-31</t>
  </si>
  <si>
    <t>Meera</t>
  </si>
  <si>
    <t>C475</t>
  </si>
  <si>
    <t>T10051</t>
  </si>
  <si>
    <t>2021-03-27</t>
  </si>
  <si>
    <t>C668</t>
  </si>
  <si>
    <t>T10052</t>
  </si>
  <si>
    <t>2024-10-01</t>
  </si>
  <si>
    <t>Bonds</t>
  </si>
  <si>
    <t>C122</t>
  </si>
  <si>
    <t>T10053</t>
  </si>
  <si>
    <t>2025-04-02</t>
  </si>
  <si>
    <t>C204</t>
  </si>
  <si>
    <t>T10054</t>
  </si>
  <si>
    <t>2025-03-01</t>
  </si>
  <si>
    <t>C366</t>
  </si>
  <si>
    <t>T10055</t>
  </si>
  <si>
    <t>C675</t>
  </si>
  <si>
    <t>T10056</t>
  </si>
  <si>
    <t>2023-01-08</t>
  </si>
  <si>
    <t>C689</t>
  </si>
  <si>
    <t>T10057</t>
  </si>
  <si>
    <t>2022-11-05</t>
  </si>
  <si>
    <t>C156</t>
  </si>
  <si>
    <t>T10058</t>
  </si>
  <si>
    <t>2023-06-26</t>
  </si>
  <si>
    <t>C618</t>
  </si>
  <si>
    <t>T10059</t>
  </si>
  <si>
    <t>2022-07-03</t>
  </si>
  <si>
    <t>C291</t>
  </si>
  <si>
    <t>T10060</t>
  </si>
  <si>
    <t>2025-01-21</t>
  </si>
  <si>
    <t>C396</t>
  </si>
  <si>
    <t>T10061</t>
  </si>
  <si>
    <t>2024-04-06</t>
  </si>
  <si>
    <t>C724</t>
  </si>
  <si>
    <t>T10062</t>
  </si>
  <si>
    <t>2021-03-15</t>
  </si>
  <si>
    <t>C720</t>
  </si>
  <si>
    <t>T10063</t>
  </si>
  <si>
    <t>2021-12-04</t>
  </si>
  <si>
    <t>C555</t>
  </si>
  <si>
    <t>T10064</t>
  </si>
  <si>
    <t>2021-03-14</t>
  </si>
  <si>
    <t>C623</t>
  </si>
  <si>
    <t>T10065</t>
  </si>
  <si>
    <t>2025-08-09</t>
  </si>
  <si>
    <t>C282</t>
  </si>
  <si>
    <t>T10066</t>
  </si>
  <si>
    <t>2025-11-26</t>
  </si>
  <si>
    <t>C380</t>
  </si>
  <si>
    <t>T10067</t>
  </si>
  <si>
    <t>2024-04-28</t>
  </si>
  <si>
    <t>C967</t>
  </si>
  <si>
    <t>T10068</t>
  </si>
  <si>
    <t>2025-04-20</t>
  </si>
  <si>
    <t>C430</t>
  </si>
  <si>
    <t>T10069</t>
  </si>
  <si>
    <t>2021-12-18</t>
  </si>
  <si>
    <t>C194</t>
  </si>
  <si>
    <t>T10070</t>
  </si>
  <si>
    <t>2023-09-10</t>
  </si>
  <si>
    <t>C514</t>
  </si>
  <si>
    <t>T10071</t>
  </si>
  <si>
    <t>2022-08-17</t>
  </si>
  <si>
    <t>C429</t>
  </si>
  <si>
    <t>T10072</t>
  </si>
  <si>
    <t>2021-02-15</t>
  </si>
  <si>
    <t>C290</t>
  </si>
  <si>
    <t>T10073</t>
  </si>
  <si>
    <t>2025-11-29</t>
  </si>
  <si>
    <t>C255</t>
  </si>
  <si>
    <t>T10074</t>
  </si>
  <si>
    <t>2021-01-21</t>
  </si>
  <si>
    <t>C361</t>
  </si>
  <si>
    <t>T10075</t>
  </si>
  <si>
    <t>2022-08-08</t>
  </si>
  <si>
    <t>C247</t>
  </si>
  <si>
    <t>T10076</t>
  </si>
  <si>
    <t>2025-06-04</t>
  </si>
  <si>
    <t>C459</t>
  </si>
  <si>
    <t>T10077</t>
  </si>
  <si>
    <t>2024-03-30</t>
  </si>
  <si>
    <t>C901</t>
  </si>
  <si>
    <t>T10078</t>
  </si>
  <si>
    <t>2022-01-15</t>
  </si>
  <si>
    <t>C506</t>
  </si>
  <si>
    <t>T10079</t>
  </si>
  <si>
    <t>2024-08-17</t>
  </si>
  <si>
    <t>C773</t>
  </si>
  <si>
    <t>T10080</t>
  </si>
  <si>
    <t>2021-08-13</t>
  </si>
  <si>
    <t>C845</t>
  </si>
  <si>
    <t>T10081</t>
  </si>
  <si>
    <t>2025-08-06</t>
  </si>
  <si>
    <t>C541</t>
  </si>
  <si>
    <t>T10082</t>
  </si>
  <si>
    <t>2021-03-17</t>
  </si>
  <si>
    <t>T10083</t>
  </si>
  <si>
    <t>2023-10-30</t>
  </si>
  <si>
    <t>C371</t>
  </si>
  <si>
    <t>T10084</t>
  </si>
  <si>
    <t>2023-06-07</t>
  </si>
  <si>
    <t>C466</t>
  </si>
  <si>
    <t>T10085</t>
  </si>
  <si>
    <t>2022-02-26</t>
  </si>
  <si>
    <t>C557</t>
  </si>
  <si>
    <t>T10086</t>
  </si>
  <si>
    <t>2021-01-01</t>
  </si>
  <si>
    <t>C146</t>
  </si>
  <si>
    <t>T10087</t>
  </si>
  <si>
    <t>2021-04-19</t>
  </si>
  <si>
    <t>C877</t>
  </si>
  <si>
    <t>T10088</t>
  </si>
  <si>
    <t>2023-04-17</t>
  </si>
  <si>
    <t>C193</t>
  </si>
  <si>
    <t>T10089</t>
  </si>
  <si>
    <t>2024-03-19</t>
  </si>
  <si>
    <t>C627</t>
  </si>
  <si>
    <t>T10090</t>
  </si>
  <si>
    <t>2021-04-15</t>
  </si>
  <si>
    <t>C701</t>
  </si>
  <si>
    <t>T10091</t>
  </si>
  <si>
    <t>2025-08-13</t>
  </si>
  <si>
    <t>C624</t>
  </si>
  <si>
    <t>T10092</t>
  </si>
  <si>
    <t>2023-01-10</t>
  </si>
  <si>
    <t>C864</t>
  </si>
  <si>
    <t>T10093</t>
  </si>
  <si>
    <t>2022-10-06</t>
  </si>
  <si>
    <t>C592</t>
  </si>
  <si>
    <t>T10094</t>
  </si>
  <si>
    <t>2023-02-25</t>
  </si>
  <si>
    <t>C235</t>
  </si>
  <si>
    <t>T10095</t>
  </si>
  <si>
    <t>2024-06-04</t>
  </si>
  <si>
    <t>C820</t>
  </si>
  <si>
    <t>T10096</t>
  </si>
  <si>
    <t>2021-02-03</t>
  </si>
  <si>
    <t>C923</t>
  </si>
  <si>
    <t>T10097</t>
  </si>
  <si>
    <t>2022-12-06</t>
  </si>
  <si>
    <t>C497</t>
  </si>
  <si>
    <t>T10098</t>
  </si>
  <si>
    <t>2021-08-28</t>
  </si>
  <si>
    <t>C860</t>
  </si>
  <si>
    <t>T10099</t>
  </si>
  <si>
    <t>2025-07-28</t>
  </si>
  <si>
    <t>C352</t>
  </si>
  <si>
    <t>T10100</t>
  </si>
  <si>
    <t>2025-02-14</t>
  </si>
  <si>
    <t>T10101</t>
  </si>
  <si>
    <t>2021-10-06</t>
  </si>
  <si>
    <t>C277</t>
  </si>
  <si>
    <t>T10102</t>
  </si>
  <si>
    <t>2024-03-10</t>
  </si>
  <si>
    <t>C636</t>
  </si>
  <si>
    <t>T10103</t>
  </si>
  <si>
    <t>2025-07-18</t>
  </si>
  <si>
    <t>C516</t>
  </si>
  <si>
    <t>T10104</t>
  </si>
  <si>
    <t>2024-07-14</t>
  </si>
  <si>
    <t>C882</t>
  </si>
  <si>
    <t>T10105</t>
  </si>
  <si>
    <t>2021-04-13</t>
  </si>
  <si>
    <t>C236</t>
  </si>
  <si>
    <t>T10106</t>
  </si>
  <si>
    <t>2022-10-01</t>
  </si>
  <si>
    <t>Stocks</t>
  </si>
  <si>
    <t>C529</t>
  </si>
  <si>
    <t>T10107</t>
  </si>
  <si>
    <t>2021-08-30</t>
  </si>
  <si>
    <t>C766</t>
  </si>
  <si>
    <t>T10108</t>
  </si>
  <si>
    <t>2022-10-27</t>
  </si>
  <si>
    <t>T10109</t>
  </si>
  <si>
    <t>2021-12-09</t>
  </si>
  <si>
    <t>T10110</t>
  </si>
  <si>
    <t>2021-05-17</t>
  </si>
  <si>
    <t>T10111</t>
  </si>
  <si>
    <t>2023-01-11</t>
  </si>
  <si>
    <t>C285</t>
  </si>
  <si>
    <t>T10112</t>
  </si>
  <si>
    <t>2023-09-15</t>
  </si>
  <si>
    <t>C489</t>
  </si>
  <si>
    <t>T10113</t>
  </si>
  <si>
    <t>C240</t>
  </si>
  <si>
    <t>T10114</t>
  </si>
  <si>
    <t>2021-09-17</t>
  </si>
  <si>
    <t>C439</t>
  </si>
  <si>
    <t>T10115</t>
  </si>
  <si>
    <t>C468</t>
  </si>
  <si>
    <t>T10116</t>
  </si>
  <si>
    <t>2022-02-27</t>
  </si>
  <si>
    <t>C130</t>
  </si>
  <si>
    <t>T10117</t>
  </si>
  <si>
    <t>2022-04-17</t>
  </si>
  <si>
    <t>C748</t>
  </si>
  <si>
    <t>T10118</t>
  </si>
  <si>
    <t>2024-06-17</t>
  </si>
  <si>
    <t>C469</t>
  </si>
  <si>
    <t>T10119</t>
  </si>
  <si>
    <t>2021-12-05</t>
  </si>
  <si>
    <t>C856</t>
  </si>
  <si>
    <t>T10120</t>
  </si>
  <si>
    <t>2022-05-24</t>
  </si>
  <si>
    <t>C492</t>
  </si>
  <si>
    <t>T10121</t>
  </si>
  <si>
    <t>2025-11-19</t>
  </si>
  <si>
    <t>C753</t>
  </si>
  <si>
    <t>T10122</t>
  </si>
  <si>
    <t>2022-05-31</t>
  </si>
  <si>
    <t>C937</t>
  </si>
  <si>
    <t>T10123</t>
  </si>
  <si>
    <t>2021-10-02</t>
  </si>
  <si>
    <t>T10124</t>
  </si>
  <si>
    <t>2024-03-27</t>
  </si>
  <si>
    <t>C107</t>
  </si>
  <si>
    <t>T10125</t>
  </si>
  <si>
    <t>2023-05-29</t>
  </si>
  <si>
    <t>C381</t>
  </si>
  <si>
    <t>T10126</t>
  </si>
  <si>
    <t>2025-12-10</t>
  </si>
  <si>
    <t>C941</t>
  </si>
  <si>
    <t>T10127</t>
  </si>
  <si>
    <t>2024-06-02</t>
  </si>
  <si>
    <t>T10128</t>
  </si>
  <si>
    <t>2024-12-17</t>
  </si>
  <si>
    <t>C113</t>
  </si>
  <si>
    <t>T10129</t>
  </si>
  <si>
    <t>2022-11-11</t>
  </si>
  <si>
    <t>C741</t>
  </si>
  <si>
    <t>T10130</t>
  </si>
  <si>
    <t>2025-09-24</t>
  </si>
  <si>
    <t>C751</t>
  </si>
  <si>
    <t>T10131</t>
  </si>
  <si>
    <t>2023-06-01</t>
  </si>
  <si>
    <t>C241</t>
  </si>
  <si>
    <t>T10132</t>
  </si>
  <si>
    <t>2025-07-07</t>
  </si>
  <si>
    <t>C374</t>
  </si>
  <si>
    <t>T10133</t>
  </si>
  <si>
    <t>2023-12-21</t>
  </si>
  <si>
    <t>C579</t>
  </si>
  <si>
    <t>T10134</t>
  </si>
  <si>
    <t>2022-11-20</t>
  </si>
  <si>
    <t>C343</t>
  </si>
  <si>
    <t>T10135</t>
  </si>
  <si>
    <t>C575</t>
  </si>
  <si>
    <t>T10136</t>
  </si>
  <si>
    <t>2025-02-03</t>
  </si>
  <si>
    <t>C686</t>
  </si>
  <si>
    <t>T10137</t>
  </si>
  <si>
    <t>2021-08-10</t>
  </si>
  <si>
    <t>C660</t>
  </si>
  <si>
    <t>T10138</t>
  </si>
  <si>
    <t>2024-08-02</t>
  </si>
  <si>
    <t>T10139</t>
  </si>
  <si>
    <t>2023-07-31</t>
  </si>
  <si>
    <t>C369</t>
  </si>
  <si>
    <t>T10140</t>
  </si>
  <si>
    <t>2025-09-01</t>
  </si>
  <si>
    <t>C831</t>
  </si>
  <si>
    <t>T10141</t>
  </si>
  <si>
    <t>2024-10-17</t>
  </si>
  <si>
    <t>C221</t>
  </si>
  <si>
    <t>T10142</t>
  </si>
  <si>
    <t>2024-01-20</t>
  </si>
  <si>
    <t>C154</t>
  </si>
  <si>
    <t>T10143</t>
  </si>
  <si>
    <t>2024-10-02</t>
  </si>
  <si>
    <t>T10144</t>
  </si>
  <si>
    <t>2021-09-04</t>
  </si>
  <si>
    <t>C810</t>
  </si>
  <si>
    <t>T10145</t>
  </si>
  <si>
    <t>2023-11-06</t>
  </si>
  <si>
    <t>C246</t>
  </si>
  <si>
    <t>T10146</t>
  </si>
  <si>
    <t>2023-01-18</t>
  </si>
  <si>
    <t>T10147</t>
  </si>
  <si>
    <t>2022-08-09</t>
  </si>
  <si>
    <t>T10148</t>
  </si>
  <si>
    <t>2025-02-02</t>
  </si>
  <si>
    <t>C734</t>
  </si>
  <si>
    <t>T10149</t>
  </si>
  <si>
    <t>2023-02-24</t>
  </si>
  <si>
    <t>C900</t>
  </si>
  <si>
    <t>T10150</t>
  </si>
  <si>
    <t>2025-10-31</t>
  </si>
  <si>
    <t>C524</t>
  </si>
  <si>
    <t>T10151</t>
  </si>
  <si>
    <t>2025-02-18</t>
  </si>
  <si>
    <t>C155</t>
  </si>
  <si>
    <t>T10152</t>
  </si>
  <si>
    <t>C208</t>
  </si>
  <si>
    <t>T10153</t>
  </si>
  <si>
    <t>2022-07-14</t>
  </si>
  <si>
    <t>C545</t>
  </si>
  <si>
    <t>T10154</t>
  </si>
  <si>
    <t>2022-03-06</t>
  </si>
  <si>
    <t>C411</t>
  </si>
  <si>
    <t>T10155</t>
  </si>
  <si>
    <t>2023-12-15</t>
  </si>
  <si>
    <t>C313</t>
  </si>
  <si>
    <t>T10156</t>
  </si>
  <si>
    <t>2022-03-20</t>
  </si>
  <si>
    <t>C626</t>
  </si>
  <si>
    <t>T10157</t>
  </si>
  <si>
    <t>2022-10-19</t>
  </si>
  <si>
    <t>T10158</t>
  </si>
  <si>
    <t>2021-09-25</t>
  </si>
  <si>
    <t>C616</t>
  </si>
  <si>
    <t>T10159</t>
  </si>
  <si>
    <t>2023-11-05</t>
  </si>
  <si>
    <t>C353</t>
  </si>
  <si>
    <t>T10160</t>
  </si>
  <si>
    <t>2024-10-19</t>
  </si>
  <si>
    <t>C537</t>
  </si>
  <si>
    <t>T10161</t>
  </si>
  <si>
    <t>2021-05-08</t>
  </si>
  <si>
    <t>T10162</t>
  </si>
  <si>
    <t>2025-08-01</t>
  </si>
  <si>
    <t>C484</t>
  </si>
  <si>
    <t>T10163</t>
  </si>
  <si>
    <t>2024-09-22</t>
  </si>
  <si>
    <t>C873</t>
  </si>
  <si>
    <t>T10164</t>
  </si>
  <si>
    <t>2024-12-22</t>
  </si>
  <si>
    <t>C683</t>
  </si>
  <si>
    <t>T10165</t>
  </si>
  <si>
    <t>C846</t>
  </si>
  <si>
    <t>T10166</t>
  </si>
  <si>
    <t>C788</t>
  </si>
  <si>
    <t>T10167</t>
  </si>
  <si>
    <t>2022-07-06</t>
  </si>
  <si>
    <t>C436</t>
  </si>
  <si>
    <t>T10168</t>
  </si>
  <si>
    <t>2025-05-14</t>
  </si>
  <si>
    <t>C764</t>
  </si>
  <si>
    <t>T10169</t>
  </si>
  <si>
    <t>2024-08-03</t>
  </si>
  <si>
    <t>C745</t>
  </si>
  <si>
    <t>T10170</t>
  </si>
  <si>
    <t>2023-08-21</t>
  </si>
  <si>
    <t>C463</t>
  </si>
  <si>
    <t>T10171</t>
  </si>
  <si>
    <t>C835</t>
  </si>
  <si>
    <t>T10172</t>
  </si>
  <si>
    <t>C772</t>
  </si>
  <si>
    <t>T10173</t>
  </si>
  <si>
    <t>2021-08-15</t>
  </si>
  <si>
    <t>C384</t>
  </si>
  <si>
    <t>T10174</t>
  </si>
  <si>
    <t>2025-08-30</t>
  </si>
  <si>
    <t>T10175</t>
  </si>
  <si>
    <t>2022-03-05</t>
  </si>
  <si>
    <t>T10176</t>
  </si>
  <si>
    <t>2023-08-12</t>
  </si>
  <si>
    <t>T10177</t>
  </si>
  <si>
    <t>2025-08-29</t>
  </si>
  <si>
    <t>C161</t>
  </si>
  <si>
    <t>T10178</t>
  </si>
  <si>
    <t>2021-02-12</t>
  </si>
  <si>
    <t>C650</t>
  </si>
  <si>
    <t>T10179</t>
  </si>
  <si>
    <t>2022-11-17</t>
  </si>
  <si>
    <t>C891</t>
  </si>
  <si>
    <t>T10180</t>
  </si>
  <si>
    <t>2025-07-27</t>
  </si>
  <si>
    <t>C216</t>
  </si>
  <si>
    <t>T10181</t>
  </si>
  <si>
    <t>2025-04-27</t>
  </si>
  <si>
    <t>C707</t>
  </si>
  <si>
    <t>T10182</t>
  </si>
  <si>
    <t>2021-04-12</t>
  </si>
  <si>
    <t>T10183</t>
  </si>
  <si>
    <t>2024-07-11</t>
  </si>
  <si>
    <t>C457</t>
  </si>
  <si>
    <t>T10184</t>
  </si>
  <si>
    <t>2021-11-03</t>
  </si>
  <si>
    <t>C985</t>
  </si>
  <si>
    <t>T10185</t>
  </si>
  <si>
    <t>2022-12-13</t>
  </si>
  <si>
    <t>C710</t>
  </si>
  <si>
    <t>T10186</t>
  </si>
  <si>
    <t>2024-08-31</t>
  </si>
  <si>
    <t>C547</t>
  </si>
  <si>
    <t>T10187</t>
  </si>
  <si>
    <t>2024-12-30</t>
  </si>
  <si>
    <t>C305</t>
  </si>
  <si>
    <t>T10188</t>
  </si>
  <si>
    <t>2022-10-20</t>
  </si>
  <si>
    <t>C780</t>
  </si>
  <si>
    <t>T10189</t>
  </si>
  <si>
    <t>2021-05-19</t>
  </si>
  <si>
    <t>C476</t>
  </si>
  <si>
    <t>T10190</t>
  </si>
  <si>
    <t>2025-11-16</t>
  </si>
  <si>
    <t>C404</t>
  </si>
  <si>
    <t>T10191</t>
  </si>
  <si>
    <t>2022-01-27</t>
  </si>
  <si>
    <t>C433</t>
  </si>
  <si>
    <t>T10192</t>
  </si>
  <si>
    <t>2022-04-29</t>
  </si>
  <si>
    <t>T10193</t>
  </si>
  <si>
    <t>2021-10-16</t>
  </si>
  <si>
    <t>T10194</t>
  </si>
  <si>
    <t>2021-08-16</t>
  </si>
  <si>
    <t>C844</t>
  </si>
  <si>
    <t>T10195</t>
  </si>
  <si>
    <t>2025-01-20</t>
  </si>
  <si>
    <t>C307</t>
  </si>
  <si>
    <t>T10196</t>
  </si>
  <si>
    <t>T10197</t>
  </si>
  <si>
    <t>2022-04-19</t>
  </si>
  <si>
    <t>C137</t>
  </si>
  <si>
    <t>T10198</t>
  </si>
  <si>
    <t>2023-11-17</t>
  </si>
  <si>
    <t>T10199</t>
  </si>
  <si>
    <t>2025-03-27</t>
  </si>
  <si>
    <t>C481</t>
  </si>
  <si>
    <t>T10200</t>
  </si>
  <si>
    <t>T10201</t>
  </si>
  <si>
    <t>2023-08-01</t>
  </si>
  <si>
    <t>C383</t>
  </si>
  <si>
    <t>T10202</t>
  </si>
  <si>
    <t>T10203</t>
  </si>
  <si>
    <t>2024-11-24</t>
  </si>
  <si>
    <t>C288</t>
  </si>
  <si>
    <t>T10204</t>
  </si>
  <si>
    <t>2024-05-01</t>
  </si>
  <si>
    <t>C127</t>
  </si>
  <si>
    <t>T10205</t>
  </si>
  <si>
    <t>2025-12-01</t>
  </si>
  <si>
    <t>C987</t>
  </si>
  <si>
    <t>T10206</t>
  </si>
  <si>
    <t>2022-07-11</t>
  </si>
  <si>
    <t>C776</t>
  </si>
  <si>
    <t>T10207</t>
  </si>
  <si>
    <t>2025-05-13</t>
  </si>
  <si>
    <t>C870</t>
  </si>
  <si>
    <t>T10208</t>
  </si>
  <si>
    <t>2021-06-21</t>
  </si>
  <si>
    <t>C656</t>
  </si>
  <si>
    <t>T10209</t>
  </si>
  <si>
    <t>2022-11-08</t>
  </si>
  <si>
    <t>C712</t>
  </si>
  <si>
    <t>T10210</t>
  </si>
  <si>
    <t>2023-07-27</t>
  </si>
  <si>
    <t>C729</t>
  </si>
  <si>
    <t>T10211</t>
  </si>
  <si>
    <t>C292</t>
  </si>
  <si>
    <t>T10212</t>
  </si>
  <si>
    <t>2025-04-23</t>
  </si>
  <si>
    <t>C357</t>
  </si>
  <si>
    <t>T10213</t>
  </si>
  <si>
    <t>2022-09-22</t>
  </si>
  <si>
    <t>C553</t>
  </si>
  <si>
    <t>T10214</t>
  </si>
  <si>
    <t>2021-03-18</t>
  </si>
  <si>
    <t>C432</t>
  </si>
  <si>
    <t>T10215</t>
  </si>
  <si>
    <t>2023-10-28</t>
  </si>
  <si>
    <t>T10216</t>
  </si>
  <si>
    <t>2021-03-09</t>
  </si>
  <si>
    <t>T10217</t>
  </si>
  <si>
    <t>2024-02-01</t>
  </si>
  <si>
    <t>C597</t>
  </si>
  <si>
    <t>T10218</t>
  </si>
  <si>
    <t>2023-10-21</t>
  </si>
  <si>
    <t>T10219</t>
  </si>
  <si>
    <t>2022-10-12</t>
  </si>
  <si>
    <t>T10220</t>
  </si>
  <si>
    <t>2022-10-21</t>
  </si>
  <si>
    <t>C138</t>
  </si>
  <si>
    <t>T10221</t>
  </si>
  <si>
    <t>2022-11-24</t>
  </si>
  <si>
    <t>T10222</t>
  </si>
  <si>
    <t>2022-02-23</t>
  </si>
  <si>
    <t>C281</t>
  </si>
  <si>
    <t>T10223</t>
  </si>
  <si>
    <t>2022-12-29</t>
  </si>
  <si>
    <t>C316</t>
  </si>
  <si>
    <t>T10224</t>
  </si>
  <si>
    <t>2025-10-24</t>
  </si>
  <si>
    <t>C674</t>
  </si>
  <si>
    <t>T10225</t>
  </si>
  <si>
    <t>2023-03-18</t>
  </si>
  <si>
    <t>C532</t>
  </si>
  <si>
    <t>T10226</t>
  </si>
  <si>
    <t>2021-05-13</t>
  </si>
  <si>
    <t>C117</t>
  </si>
  <si>
    <t>T10227</t>
  </si>
  <si>
    <t>2024-05-27</t>
  </si>
  <si>
    <t>C931</t>
  </si>
  <si>
    <t>T10228</t>
  </si>
  <si>
    <t>C747</t>
  </si>
  <si>
    <t>T10229</t>
  </si>
  <si>
    <t>2024-08-11</t>
  </si>
  <si>
    <t>C622</t>
  </si>
  <si>
    <t>T10230</t>
  </si>
  <si>
    <t>2023-10-17</t>
  </si>
  <si>
    <t>C697</t>
  </si>
  <si>
    <t>T10231</t>
  </si>
  <si>
    <t>2023-09-18</t>
  </si>
  <si>
    <t>T10232</t>
  </si>
  <si>
    <t>2024-06-25</t>
  </si>
  <si>
    <t>C401</t>
  </si>
  <si>
    <t>T10233</t>
  </si>
  <si>
    <t>T10234</t>
  </si>
  <si>
    <t>C911</t>
  </si>
  <si>
    <t>T10235</t>
  </si>
  <si>
    <t>2025-07-15</t>
  </si>
  <si>
    <t>T10236</t>
  </si>
  <si>
    <t>2022-10-16</t>
  </si>
  <si>
    <t>C550</t>
  </si>
  <si>
    <t>T10237</t>
  </si>
  <si>
    <t>2022-09-25</t>
  </si>
  <si>
    <t>C684</t>
  </si>
  <si>
    <t>T10238</t>
  </si>
  <si>
    <t>2021-09-09</t>
  </si>
  <si>
    <t>C372</t>
  </si>
  <si>
    <t>T10239</t>
  </si>
  <si>
    <t>2024-09-01</t>
  </si>
  <si>
    <t>C940</t>
  </si>
  <si>
    <t>T10240</t>
  </si>
  <si>
    <t>2021-10-07</t>
  </si>
  <si>
    <t>T10241</t>
  </si>
  <si>
    <t>2025-08-17</t>
  </si>
  <si>
    <t>C363</t>
  </si>
  <si>
    <t>T10242</t>
  </si>
  <si>
    <t>C685</t>
  </si>
  <si>
    <t>T10243</t>
  </si>
  <si>
    <t>C245</t>
  </si>
  <si>
    <t>T10244</t>
  </si>
  <si>
    <t>2024-07-29</t>
  </si>
  <si>
    <t>C730</t>
  </si>
  <si>
    <t>T10245</t>
  </si>
  <si>
    <t>2024-05-15</t>
  </si>
  <si>
    <t>T10246</t>
  </si>
  <si>
    <t>2023-11-29</t>
  </si>
  <si>
    <t>T10247</t>
  </si>
  <si>
    <t>2025-08-04</t>
  </si>
  <si>
    <t>C977</t>
  </si>
  <si>
    <t>T10248</t>
  </si>
  <si>
    <t>T10249</t>
  </si>
  <si>
    <t>2025-11-09</t>
  </si>
  <si>
    <t>C141</t>
  </si>
  <si>
    <t>T10250</t>
  </si>
  <si>
    <t>2021-12-21</t>
  </si>
  <si>
    <t>C961</t>
  </si>
  <si>
    <t>T10251</t>
  </si>
  <si>
    <t>2024-04-20</t>
  </si>
  <si>
    <t>C979</t>
  </si>
  <si>
    <t>T10252</t>
  </si>
  <si>
    <t>2023-06-12</t>
  </si>
  <si>
    <t>C819</t>
  </si>
  <si>
    <t>T10253</t>
  </si>
  <si>
    <t>2024-12-18</t>
  </si>
  <si>
    <t>C739</t>
  </si>
  <si>
    <t>T10254</t>
  </si>
  <si>
    <t>T10255</t>
  </si>
  <si>
    <t>2025-08-27</t>
  </si>
  <si>
    <t>T10256</t>
  </si>
  <si>
    <t>2022-01-02</t>
  </si>
  <si>
    <t>C171</t>
  </si>
  <si>
    <t>T10257</t>
  </si>
  <si>
    <t>2021-06-20</t>
  </si>
  <si>
    <t>C126</t>
  </si>
  <si>
    <t>T10258</t>
  </si>
  <si>
    <t>2023-05-21</t>
  </si>
  <si>
    <t>C682</t>
  </si>
  <si>
    <t>T10259</t>
  </si>
  <si>
    <t>2021-10-03</t>
  </si>
  <si>
    <t>T10260</t>
  </si>
  <si>
    <t>2023-10-16</t>
  </si>
  <si>
    <t>C308</t>
  </si>
  <si>
    <t>T10261</t>
  </si>
  <si>
    <t>2025-04-01</t>
  </si>
  <si>
    <t>C775</t>
  </si>
  <si>
    <t>T10262</t>
  </si>
  <si>
    <t>2021-04-11</t>
  </si>
  <si>
    <t>T10263</t>
  </si>
  <si>
    <t>2024-07-13</t>
  </si>
  <si>
    <t>T10264</t>
  </si>
  <si>
    <t>2024-12-09</t>
  </si>
  <si>
    <t>C994</t>
  </si>
  <si>
    <t>T10265</t>
  </si>
  <si>
    <t>2023-10-12</t>
  </si>
  <si>
    <t>C907</t>
  </si>
  <si>
    <t>T10266</t>
  </si>
  <si>
    <t>2022-03-21</t>
  </si>
  <si>
    <t>C883</t>
  </si>
  <si>
    <t>T10267</t>
  </si>
  <si>
    <t>2022-04-08</t>
  </si>
  <si>
    <t>T10268</t>
  </si>
  <si>
    <t>2022-12-05</t>
  </si>
  <si>
    <t>C128</t>
  </si>
  <si>
    <t>T10269</t>
  </si>
  <si>
    <t>2023-05-22</t>
  </si>
  <si>
    <t>C443</t>
  </si>
  <si>
    <t>T10270</t>
  </si>
  <si>
    <t>2025-11-01</t>
  </si>
  <si>
    <t>C850</t>
  </si>
  <si>
    <t>T10271</t>
  </si>
  <si>
    <t>T10272</t>
  </si>
  <si>
    <t>2025-09-09</t>
  </si>
  <si>
    <t>T10273</t>
  </si>
  <si>
    <t>2022-07-17</t>
  </si>
  <si>
    <t>C499</t>
  </si>
  <si>
    <t>T10274</t>
  </si>
  <si>
    <t>2021-06-23</t>
  </si>
  <si>
    <t>C116</t>
  </si>
  <si>
    <t>T10275</t>
  </si>
  <si>
    <t>2024-07-24</t>
  </si>
  <si>
    <t>T10276</t>
  </si>
  <si>
    <t>2022-02-09</t>
  </si>
  <si>
    <t>C210</t>
  </si>
  <si>
    <t>T10277</t>
  </si>
  <si>
    <t>2023-07-26</t>
  </si>
  <si>
    <t>C789</t>
  </si>
  <si>
    <t>T10278</t>
  </si>
  <si>
    <t>C885</t>
  </si>
  <si>
    <t>T10279</t>
  </si>
  <si>
    <t>C224</t>
  </si>
  <si>
    <t>T10280</t>
  </si>
  <si>
    <t>2023-06-30</t>
  </si>
  <si>
    <t>C963</t>
  </si>
  <si>
    <t>T10281</t>
  </si>
  <si>
    <t>2022-04-12</t>
  </si>
  <si>
    <t>C708</t>
  </si>
  <si>
    <t>T10282</t>
  </si>
  <si>
    <t>2025-05-31</t>
  </si>
  <si>
    <t>C803</t>
  </si>
  <si>
    <t>T10283</t>
  </si>
  <si>
    <t>2023-05-16</t>
  </si>
  <si>
    <t>C843</t>
  </si>
  <si>
    <t>T10284</t>
  </si>
  <si>
    <t>2025-11-27</t>
  </si>
  <si>
    <t>C407</t>
  </si>
  <si>
    <t>T10285</t>
  </si>
  <si>
    <t>C565</t>
  </si>
  <si>
    <t>T10286</t>
  </si>
  <si>
    <t>2025-08-05</t>
  </si>
  <si>
    <t>C955</t>
  </si>
  <si>
    <t>T10287</t>
  </si>
  <si>
    <t>C544</t>
  </si>
  <si>
    <t>T10288</t>
  </si>
  <si>
    <t>2023-03-14</t>
  </si>
  <si>
    <t>C311</t>
  </si>
  <si>
    <t>T10289</t>
  </si>
  <si>
    <t>2022-07-18</t>
  </si>
  <si>
    <t>C601</t>
  </si>
  <si>
    <t>T10290</t>
  </si>
  <si>
    <t>2022-04-25</t>
  </si>
  <si>
    <t>C365</t>
  </si>
  <si>
    <t>T10291</t>
  </si>
  <si>
    <t>2023-02-22</t>
  </si>
  <si>
    <t>C713</t>
  </si>
  <si>
    <t>T10292</t>
  </si>
  <si>
    <t>2025-09-13</t>
  </si>
  <si>
    <t>C790</t>
  </si>
  <si>
    <t>T10293</t>
  </si>
  <si>
    <t>C278</t>
  </si>
  <si>
    <t>T10294</t>
  </si>
  <si>
    <t>2024-12-04</t>
  </si>
  <si>
    <t>C406</t>
  </si>
  <si>
    <t>T10295</t>
  </si>
  <si>
    <t>2023-06-17</t>
  </si>
  <si>
    <t>T10296</t>
  </si>
  <si>
    <t>C920</t>
  </si>
  <si>
    <t>T10297</t>
  </si>
  <si>
    <t>2023-09-26</t>
  </si>
  <si>
    <t>C472</t>
  </si>
  <si>
    <t>T10298</t>
  </si>
  <si>
    <t>2025-03-04</t>
  </si>
  <si>
    <t>T10299</t>
  </si>
  <si>
    <t>2021-11-08</t>
  </si>
  <si>
    <t>C634</t>
  </si>
  <si>
    <t>T10300</t>
  </si>
  <si>
    <t>2021-08-23</t>
  </si>
  <si>
    <t>C735</t>
  </si>
  <si>
    <t>T10301</t>
  </si>
  <si>
    <t>2023-07-16</t>
  </si>
  <si>
    <t>T10302</t>
  </si>
  <si>
    <t>2023-09-29</t>
  </si>
  <si>
    <t>C428</t>
  </si>
  <si>
    <t>T10303</t>
  </si>
  <si>
    <t>2023-10-01</t>
  </si>
  <si>
    <t>C114</t>
  </si>
  <si>
    <t>T10304</t>
  </si>
  <si>
    <t>2021-10-08</t>
  </si>
  <si>
    <t>T10305</t>
  </si>
  <si>
    <t>2024-03-11</t>
  </si>
  <si>
    <t>C910</t>
  </si>
  <si>
    <t>T10306</t>
  </si>
  <si>
    <t>2021-10-27</t>
  </si>
  <si>
    <t>T10307</t>
  </si>
  <si>
    <t>2023-06-04</t>
  </si>
  <si>
    <t>C462</t>
  </si>
  <si>
    <t>T10308</t>
  </si>
  <si>
    <t>2025-07-30</t>
  </si>
  <si>
    <t>C456</t>
  </si>
  <si>
    <t>T10309</t>
  </si>
  <si>
    <t>C416</t>
  </si>
  <si>
    <t>T10310</t>
  </si>
  <si>
    <t>2023-12-22</t>
  </si>
  <si>
    <t>C418</t>
  </si>
  <si>
    <t>T10311</t>
  </si>
  <si>
    <t>2021-01-31</t>
  </si>
  <si>
    <t>C295</t>
  </si>
  <si>
    <t>T10312</t>
  </si>
  <si>
    <t>2025-02-24</t>
  </si>
  <si>
    <t>T10313</t>
  </si>
  <si>
    <t>2022-03-25</t>
  </si>
  <si>
    <t>C906</t>
  </si>
  <si>
    <t>T10314</t>
  </si>
  <si>
    <t>2025-10-11</t>
  </si>
  <si>
    <t>T10315</t>
  </si>
  <si>
    <t>2021-05-10</t>
  </si>
  <si>
    <t>T10316</t>
  </si>
  <si>
    <t>2023-09-22</t>
  </si>
  <si>
    <t>C477</t>
  </si>
  <si>
    <t>T10317</t>
  </si>
  <si>
    <t>C913</t>
  </si>
  <si>
    <t>T10318</t>
  </si>
  <si>
    <t>2025-04-03</t>
  </si>
  <si>
    <t>C779</t>
  </si>
  <si>
    <t>T10319</t>
  </si>
  <si>
    <t>C651</t>
  </si>
  <si>
    <t>T10320</t>
  </si>
  <si>
    <t>T10321</t>
  </si>
  <si>
    <t>2021-11-12</t>
  </si>
  <si>
    <t>C333</t>
  </si>
  <si>
    <t>T10322</t>
  </si>
  <si>
    <t>2023-12-05</t>
  </si>
  <si>
    <t>C495</t>
  </si>
  <si>
    <t>T10323</t>
  </si>
  <si>
    <t>2023-10-18</t>
  </si>
  <si>
    <t>T10324</t>
  </si>
  <si>
    <t>2024-04-03</t>
  </si>
  <si>
    <t>T10325</t>
  </si>
  <si>
    <t>2023-11-24</t>
  </si>
  <si>
    <t>C830</t>
  </si>
  <si>
    <t>T10326</t>
  </si>
  <si>
    <t>2021-05-26</t>
  </si>
  <si>
    <t>C471</t>
  </si>
  <si>
    <t>T10327</t>
  </si>
  <si>
    <t>2021-08-09</t>
  </si>
  <si>
    <t>C317</t>
  </si>
  <si>
    <t>T10328</t>
  </si>
  <si>
    <t>C132</t>
  </si>
  <si>
    <t>T10329</t>
  </si>
  <si>
    <t>C848</t>
  </si>
  <si>
    <t>T10330</t>
  </si>
  <si>
    <t>2024-08-08</t>
  </si>
  <si>
    <t>C120</t>
  </si>
  <si>
    <t>T10331</t>
  </si>
  <si>
    <t>2023-01-12</t>
  </si>
  <si>
    <t>C228</t>
  </si>
  <si>
    <t>T10332</t>
  </si>
  <si>
    <t>2025-05-19</t>
  </si>
  <si>
    <t>T10333</t>
  </si>
  <si>
    <t>2022-06-18</t>
  </si>
  <si>
    <t>C991</t>
  </si>
  <si>
    <t>T10334</t>
  </si>
  <si>
    <t>C709</t>
  </si>
  <si>
    <t>T10335</t>
  </si>
  <si>
    <t>2024-04-22</t>
  </si>
  <si>
    <t>C899</t>
  </si>
  <si>
    <t>T10336</t>
  </si>
  <si>
    <t>2025-01-09</t>
  </si>
  <si>
    <t>C797</t>
  </si>
  <si>
    <t>T10337</t>
  </si>
  <si>
    <t>2022-08-03</t>
  </si>
  <si>
    <t>T10338</t>
  </si>
  <si>
    <t>2025-07-04</t>
  </si>
  <si>
    <t>C714</t>
  </si>
  <si>
    <t>T10339</t>
  </si>
  <si>
    <t>C982</t>
  </si>
  <si>
    <t>T10340</t>
  </si>
  <si>
    <t>2025-07-17</t>
  </si>
  <si>
    <t>T10341</t>
  </si>
  <si>
    <t>2023-02-18</t>
  </si>
  <si>
    <t>C802</t>
  </si>
  <si>
    <t>T10342</t>
  </si>
  <si>
    <t>C153</t>
  </si>
  <si>
    <t>T10343</t>
  </si>
  <si>
    <t>2023-05-10</t>
  </si>
  <si>
    <t>C727</t>
  </si>
  <si>
    <t>T10344</t>
  </si>
  <si>
    <t>2021-10-17</t>
  </si>
  <si>
    <t>C791</t>
  </si>
  <si>
    <t>T10345</t>
  </si>
  <si>
    <t>2024-11-02</t>
  </si>
  <si>
    <t>C142</t>
  </si>
  <si>
    <t>T10346</t>
  </si>
  <si>
    <t>2025-05-20</t>
  </si>
  <si>
    <t>C632</t>
  </si>
  <si>
    <t>T10347</t>
  </si>
  <si>
    <t>2025-03-22</t>
  </si>
  <si>
    <t>C816</t>
  </si>
  <si>
    <t>T10348</t>
  </si>
  <si>
    <t>2025-08-20</t>
  </si>
  <si>
    <t>C410</t>
  </si>
  <si>
    <t>T10349</t>
  </si>
  <si>
    <t>2022-07-08</t>
  </si>
  <si>
    <t>T10350</t>
  </si>
  <si>
    <t>2024-09-26</t>
  </si>
  <si>
    <t>T10351</t>
  </si>
  <si>
    <t>2024-10-22</t>
  </si>
  <si>
    <t>T10352</t>
  </si>
  <si>
    <t>2023-08-16</t>
  </si>
  <si>
    <t>T10353</t>
  </si>
  <si>
    <t>2025-03-13</t>
  </si>
  <si>
    <t>C454</t>
  </si>
  <si>
    <t>T10354</t>
  </si>
  <si>
    <t>2025-01-16</t>
  </si>
  <si>
    <t>C280</t>
  </si>
  <si>
    <t>T10355</t>
  </si>
  <si>
    <t>2021-11-10</t>
  </si>
  <si>
    <t>T10356</t>
  </si>
  <si>
    <t>2021-06-14</t>
  </si>
  <si>
    <t>C378</t>
  </si>
  <si>
    <t>T10357</t>
  </si>
  <si>
    <t>2025-09-18</t>
  </si>
  <si>
    <t>T10358</t>
  </si>
  <si>
    <t>2025-04-25</t>
  </si>
  <si>
    <t>T10359</t>
  </si>
  <si>
    <t>2024-01-28</t>
  </si>
  <si>
    <t>T10360</t>
  </si>
  <si>
    <t>2021-04-24</t>
  </si>
  <si>
    <t>T10361</t>
  </si>
  <si>
    <t>2024-05-03</t>
  </si>
  <si>
    <t>C876</t>
  </si>
  <si>
    <t>T10362</t>
  </si>
  <si>
    <t>2022-01-28</t>
  </si>
  <si>
    <t>T10363</t>
  </si>
  <si>
    <t>2024-11-06</t>
  </si>
  <si>
    <t>C319</t>
  </si>
  <si>
    <t>T10364</t>
  </si>
  <si>
    <t>2021-01-25</t>
  </si>
  <si>
    <t>C988</t>
  </si>
  <si>
    <t>T10365</t>
  </si>
  <si>
    <t>2023-04-04</t>
  </si>
  <si>
    <t>T10366</t>
  </si>
  <si>
    <t>C644</t>
  </si>
  <si>
    <t>T10367</t>
  </si>
  <si>
    <t>2025-03-25</t>
  </si>
  <si>
    <t>T10368</t>
  </si>
  <si>
    <t>2022-12-16</t>
  </si>
  <si>
    <t>C966</t>
  </si>
  <si>
    <t>T10369</t>
  </si>
  <si>
    <t>2025-10-30</t>
  </si>
  <si>
    <t>T10370</t>
  </si>
  <si>
    <t>2021-10-31</t>
  </si>
  <si>
    <t>C930</t>
  </si>
  <si>
    <t>T10371</t>
  </si>
  <si>
    <t>2021-06-01</t>
  </si>
  <si>
    <t>T10372</t>
  </si>
  <si>
    <t>2025-05-25</t>
  </si>
  <si>
    <t>T10373</t>
  </si>
  <si>
    <t>2024-08-28</t>
  </si>
  <si>
    <t>C431</t>
  </si>
  <si>
    <t>T10374</t>
  </si>
  <si>
    <t>2023-10-05</t>
  </si>
  <si>
    <t>T10375</t>
  </si>
  <si>
    <t>2024-08-29</t>
  </si>
  <si>
    <t>T10376</t>
  </si>
  <si>
    <t>2022-11-18</t>
  </si>
  <si>
    <t>C798</t>
  </si>
  <si>
    <t>T10377</t>
  </si>
  <si>
    <t>2022-01-21</t>
  </si>
  <si>
    <t>C808</t>
  </si>
  <si>
    <t>T10378</t>
  </si>
  <si>
    <t>2021-05-18</t>
  </si>
  <si>
    <t>C315</t>
  </si>
  <si>
    <t>T10379</t>
  </si>
  <si>
    <t>2024-06-05</t>
  </si>
  <si>
    <t>T10380</t>
  </si>
  <si>
    <t>2023-07-22</t>
  </si>
  <si>
    <t>C695</t>
  </si>
  <si>
    <t>T10381</t>
  </si>
  <si>
    <t>2022-12-25</t>
  </si>
  <si>
    <t>C320</t>
  </si>
  <si>
    <t>T10382</t>
  </si>
  <si>
    <t>2023-09-03</t>
  </si>
  <si>
    <t>T10383</t>
  </si>
  <si>
    <t>2021-06-17</t>
  </si>
  <si>
    <t>T10384</t>
  </si>
  <si>
    <t>C379</t>
  </si>
  <si>
    <t>T10385</t>
  </si>
  <si>
    <t>T10386</t>
  </si>
  <si>
    <t>2024-12-01</t>
  </si>
  <si>
    <t>C721</t>
  </si>
  <si>
    <t>T10387</t>
  </si>
  <si>
    <t>2024-04-19</t>
  </si>
  <si>
    <t>T10388</t>
  </si>
  <si>
    <t>2023-08-23</t>
  </si>
  <si>
    <t>C207</t>
  </si>
  <si>
    <t>T10389</t>
  </si>
  <si>
    <t>2024-10-09</t>
  </si>
  <si>
    <t>T10390</t>
  </si>
  <si>
    <t>2024-04-09</t>
  </si>
  <si>
    <t>C508</t>
  </si>
  <si>
    <t>T10391</t>
  </si>
  <si>
    <t>2025-07-03</t>
  </si>
  <si>
    <t>C347</t>
  </si>
  <si>
    <t>T10392</t>
  </si>
  <si>
    <t>2021-05-14</t>
  </si>
  <si>
    <t>T10393</t>
  </si>
  <si>
    <t>2021-06-24</t>
  </si>
  <si>
    <t>C807</t>
  </si>
  <si>
    <t>T10394</t>
  </si>
  <si>
    <t>2022-06-17</t>
  </si>
  <si>
    <t>T10395</t>
  </si>
  <si>
    <t>2025-04-17</t>
  </si>
  <si>
    <t>T10396</t>
  </si>
  <si>
    <t>T10397</t>
  </si>
  <si>
    <t>C782</t>
  </si>
  <si>
    <t>T10398</t>
  </si>
  <si>
    <t>2025-01-25</t>
  </si>
  <si>
    <t>T10399</t>
  </si>
  <si>
    <t>C405</t>
  </si>
  <si>
    <t>T10400</t>
  </si>
  <si>
    <t>2021-12-20</t>
  </si>
  <si>
    <t>T10401</t>
  </si>
  <si>
    <t>2021-06-06</t>
  </si>
  <si>
    <t>C949</t>
  </si>
  <si>
    <t>T10402</t>
  </si>
  <si>
    <t>2023-10-31</t>
  </si>
  <si>
    <t>C894</t>
  </si>
  <si>
    <t>T10403</t>
  </si>
  <si>
    <t>2024-05-26</t>
  </si>
  <si>
    <t>C665</t>
  </si>
  <si>
    <t>T10404</t>
  </si>
  <si>
    <t>2021-01-30</t>
  </si>
  <si>
    <t>T10405</t>
  </si>
  <si>
    <t>2022-09-12</t>
  </si>
  <si>
    <t>T10406</t>
  </si>
  <si>
    <t>2024-07-16</t>
  </si>
  <si>
    <t>C488</t>
  </si>
  <si>
    <t>T10407</t>
  </si>
  <si>
    <t>2024-09-12</t>
  </si>
  <si>
    <t>C887</t>
  </si>
  <si>
    <t>T10408</t>
  </si>
  <si>
    <t>C586</t>
  </si>
  <si>
    <t>T10409</t>
  </si>
  <si>
    <t>2022-06-27</t>
  </si>
  <si>
    <t>C938</t>
  </si>
  <si>
    <t>T10410</t>
  </si>
  <si>
    <t>2021-01-18</t>
  </si>
  <si>
    <t>T10411</t>
  </si>
  <si>
    <t>2022-11-04</t>
  </si>
  <si>
    <t>C437</t>
  </si>
  <si>
    <t>T10412</t>
  </si>
  <si>
    <t>2023-07-20</t>
  </si>
  <si>
    <t>C143</t>
  </si>
  <si>
    <t>T10413</t>
  </si>
  <si>
    <t>2025-01-29</t>
  </si>
  <si>
    <t>C641</t>
  </si>
  <si>
    <t>T10414</t>
  </si>
  <si>
    <t>2022-10-08</t>
  </si>
  <si>
    <t>C250</t>
  </si>
  <si>
    <t>T10415</t>
  </si>
  <si>
    <t>2024-01-23</t>
  </si>
  <si>
    <t>C598</t>
  </si>
  <si>
    <t>T10416</t>
  </si>
  <si>
    <t>2022-05-18</t>
  </si>
  <si>
    <t>C213</t>
  </si>
  <si>
    <t>T10417</t>
  </si>
  <si>
    <t>C151</t>
  </si>
  <si>
    <t>T10418</t>
  </si>
  <si>
    <t>2022-08-29</t>
  </si>
  <si>
    <t>C655</t>
  </si>
  <si>
    <t>T10419</t>
  </si>
  <si>
    <t>2023-07-24</t>
  </si>
  <si>
    <t>C904</t>
  </si>
  <si>
    <t>T10420</t>
  </si>
  <si>
    <t>2024-10-08</t>
  </si>
  <si>
    <t>C101</t>
  </si>
  <si>
    <t>T10421</t>
  </si>
  <si>
    <t>2024-09-13</t>
  </si>
  <si>
    <t>T10422</t>
  </si>
  <si>
    <t>2024-06-15</t>
  </si>
  <si>
    <t>T10423</t>
  </si>
  <si>
    <t>T10424</t>
  </si>
  <si>
    <t>2022-07-09</t>
  </si>
  <si>
    <t>T10425</t>
  </si>
  <si>
    <t>2024-09-20</t>
  </si>
  <si>
    <t>C771</t>
  </si>
  <si>
    <t>T10426</t>
  </si>
  <si>
    <t>2024-05-18</t>
  </si>
  <si>
    <t>T10427</t>
  </si>
  <si>
    <t>2022-03-24</t>
  </si>
  <si>
    <t>C111</t>
  </si>
  <si>
    <t>T10428</t>
  </si>
  <si>
    <t>C397</t>
  </si>
  <si>
    <t>T10429</t>
  </si>
  <si>
    <t>2023-12-26</t>
  </si>
  <si>
    <t>C184</t>
  </si>
  <si>
    <t>T10430</t>
  </si>
  <si>
    <t>C978</t>
  </si>
  <si>
    <t>T10431</t>
  </si>
  <si>
    <t>C792</t>
  </si>
  <si>
    <t>T10432</t>
  </si>
  <si>
    <t>T10433</t>
  </si>
  <si>
    <t>2024-01-01</t>
  </si>
  <si>
    <t>T10434</t>
  </si>
  <si>
    <t>2025-06-12</t>
  </si>
  <si>
    <t>T10435</t>
  </si>
  <si>
    <t>2021-12-25</t>
  </si>
  <si>
    <t>T10436</t>
  </si>
  <si>
    <t>2021-01-20</t>
  </si>
  <si>
    <t>T10437</t>
  </si>
  <si>
    <t>T10438</t>
  </si>
  <si>
    <t>C169</t>
  </si>
  <si>
    <t>T10439</t>
  </si>
  <si>
    <t>C260</t>
  </si>
  <si>
    <t>T10440</t>
  </si>
  <si>
    <t>C600</t>
  </si>
  <si>
    <t>T10441</t>
  </si>
  <si>
    <t>2022-07-27</t>
  </si>
  <si>
    <t>T10442</t>
  </si>
  <si>
    <t>2024-04-23</t>
  </si>
  <si>
    <t>C612</t>
  </si>
  <si>
    <t>T10443</t>
  </si>
  <si>
    <t>2024-09-18</t>
  </si>
  <si>
    <t>C125</t>
  </si>
  <si>
    <t>T10444</t>
  </si>
  <si>
    <t>2022-03-14</t>
  </si>
  <si>
    <t>C351</t>
  </si>
  <si>
    <t>T10445</t>
  </si>
  <si>
    <t>T10446</t>
  </si>
  <si>
    <t>2021-03-02</t>
  </si>
  <si>
    <t>C823</t>
  </si>
  <si>
    <t>T10447</t>
  </si>
  <si>
    <t>C329</t>
  </si>
  <si>
    <t>T10448</t>
  </si>
  <si>
    <t>2021-03-19</t>
  </si>
  <si>
    <t>C896</t>
  </si>
  <si>
    <t>T10449</t>
  </si>
  <si>
    <t>2025-07-05</t>
  </si>
  <si>
    <t>C187</t>
  </si>
  <si>
    <t>T10450</t>
  </si>
  <si>
    <t>2023-11-19</t>
  </si>
  <si>
    <t>C951</t>
  </si>
  <si>
    <t>T10451</t>
  </si>
  <si>
    <t>2021-02-01</t>
  </si>
  <si>
    <t>T10452</t>
  </si>
  <si>
    <t>T10453</t>
  </si>
  <si>
    <t>T10454</t>
  </si>
  <si>
    <t>2023-06-08</t>
  </si>
  <si>
    <t>C474</t>
  </si>
  <si>
    <t>T10455</t>
  </si>
  <si>
    <t>2021-06-30</t>
  </si>
  <si>
    <t>C345</t>
  </si>
  <si>
    <t>T10456</t>
  </si>
  <si>
    <t>2025-04-11</t>
  </si>
  <si>
    <t>T10457</t>
  </si>
  <si>
    <t>2024-12-28</t>
  </si>
  <si>
    <t>C972</t>
  </si>
  <si>
    <t>T10458</t>
  </si>
  <si>
    <t>2024-05-24</t>
  </si>
  <si>
    <t>C364</t>
  </si>
  <si>
    <t>T10459</t>
  </si>
  <si>
    <t>C121</t>
  </si>
  <si>
    <t>T10460</t>
  </si>
  <si>
    <t>2025-08-12</t>
  </si>
  <si>
    <t>C640</t>
  </si>
  <si>
    <t>T10461</t>
  </si>
  <si>
    <t>T10462</t>
  </si>
  <si>
    <t>T10463</t>
  </si>
  <si>
    <t>2023-11-20</t>
  </si>
  <si>
    <t>C728</t>
  </si>
  <si>
    <t>T10464</t>
  </si>
  <si>
    <t>2022-08-23</t>
  </si>
  <si>
    <t>C653</t>
  </si>
  <si>
    <t>T10465</t>
  </si>
  <si>
    <t>2021-07-08</t>
  </si>
  <si>
    <t>C680</t>
  </si>
  <si>
    <t>T10466</t>
  </si>
  <si>
    <t>C855</t>
  </si>
  <si>
    <t>T10467</t>
  </si>
  <si>
    <t>C164</t>
  </si>
  <si>
    <t>T10468</t>
  </si>
  <si>
    <t>2022-02-14</t>
  </si>
  <si>
    <t>C804</t>
  </si>
  <si>
    <t>T10469</t>
  </si>
  <si>
    <t>2023-06-23</t>
  </si>
  <si>
    <t>T10470</t>
  </si>
  <si>
    <t>T10471</t>
  </si>
  <si>
    <t>2021-12-16</t>
  </si>
  <si>
    <t>T10472</t>
  </si>
  <si>
    <t>2022-05-11</t>
  </si>
  <si>
    <t>C897</t>
  </si>
  <si>
    <t>T10473</t>
  </si>
  <si>
    <t>2021-04-26</t>
  </si>
  <si>
    <t>T10474</t>
  </si>
  <si>
    <t>2022-07-29</t>
  </si>
  <si>
    <t>T10475</t>
  </si>
  <si>
    <t>2023-11-18</t>
  </si>
  <si>
    <t>T10476</t>
  </si>
  <si>
    <t>2023-12-14</t>
  </si>
  <si>
    <t>C129</t>
  </si>
  <si>
    <t>T10477</t>
  </si>
  <si>
    <t>2023-02-05</t>
  </si>
  <si>
    <t>C159</t>
  </si>
  <si>
    <t>T10478</t>
  </si>
  <si>
    <t>C932</t>
  </si>
  <si>
    <t>T10479</t>
  </si>
  <si>
    <t>2023-08-04</t>
  </si>
  <si>
    <t>C201</t>
  </si>
  <si>
    <t>T10480</t>
  </si>
  <si>
    <t>2021-05-30</t>
  </si>
  <si>
    <t>T10481</t>
  </si>
  <si>
    <t>T10482</t>
  </si>
  <si>
    <t>T10483</t>
  </si>
  <si>
    <t>2025-03-05</t>
  </si>
  <si>
    <t>T10484</t>
  </si>
  <si>
    <t>2024-09-02</t>
  </si>
  <si>
    <t>C562</t>
  </si>
  <si>
    <t>T10485</t>
  </si>
  <si>
    <t>2021-11-14</t>
  </si>
  <si>
    <t>C461</t>
  </si>
  <si>
    <t>T10486</t>
  </si>
  <si>
    <t>2025-02-16</t>
  </si>
  <si>
    <t>C581</t>
  </si>
  <si>
    <t>T10487</t>
  </si>
  <si>
    <t>C718</t>
  </si>
  <si>
    <t>T10488</t>
  </si>
  <si>
    <t>2025-10-02</t>
  </si>
  <si>
    <t>C824</t>
  </si>
  <si>
    <t>T10489</t>
  </si>
  <si>
    <t>2024-03-04</t>
  </si>
  <si>
    <t>C173</t>
  </si>
  <si>
    <t>T10490</t>
  </si>
  <si>
    <t>T10491</t>
  </si>
  <si>
    <t>2025-10-03</t>
  </si>
  <si>
    <t>C172</t>
  </si>
  <si>
    <t>T10492</t>
  </si>
  <si>
    <t>C770</t>
  </si>
  <si>
    <t>T10493</t>
  </si>
  <si>
    <t>2022-01-14</t>
  </si>
  <si>
    <t>T10494</t>
  </si>
  <si>
    <t>2022-09-05</t>
  </si>
  <si>
    <t>T10495</t>
  </si>
  <si>
    <t>2023-05-31</t>
  </si>
  <si>
    <t>T10496</t>
  </si>
  <si>
    <t>C740</t>
  </si>
  <si>
    <t>T10497</t>
  </si>
  <si>
    <t>2021-09-22</t>
  </si>
  <si>
    <t>C585</t>
  </si>
  <si>
    <t>T10498</t>
  </si>
  <si>
    <t>2025-01-13</t>
  </si>
  <si>
    <t>T10499</t>
  </si>
  <si>
    <t>2023-11-16</t>
  </si>
  <si>
    <t>C191</t>
  </si>
  <si>
    <t>T10500</t>
  </si>
  <si>
    <t>2024-08-18</t>
  </si>
  <si>
    <t>C303</t>
  </si>
  <si>
    <t>T10501</t>
  </si>
  <si>
    <t>2022-09-17</t>
  </si>
  <si>
    <t>C511</t>
  </si>
  <si>
    <t>T10502</t>
  </si>
  <si>
    <t>C385</t>
  </si>
  <si>
    <t>T10503</t>
  </si>
  <si>
    <t>2022-12-01</t>
  </si>
  <si>
    <t>T10504</t>
  </si>
  <si>
    <t>2024-05-28</t>
  </si>
  <si>
    <t>C223</t>
  </si>
  <si>
    <t>T10505</t>
  </si>
  <si>
    <t>2024-10-25</t>
  </si>
  <si>
    <t>C540</t>
  </si>
  <si>
    <t>T10506</t>
  </si>
  <si>
    <t>2024-01-16</t>
  </si>
  <si>
    <t>C621</t>
  </si>
  <si>
    <t>T10507</t>
  </si>
  <si>
    <t>2021-07-23</t>
  </si>
  <si>
    <t>C102</t>
  </si>
  <si>
    <t>T10508</t>
  </si>
  <si>
    <t>T10509</t>
  </si>
  <si>
    <t>2023-07-08</t>
  </si>
  <si>
    <t>T10510</t>
  </si>
  <si>
    <t>T10511</t>
  </si>
  <si>
    <t>C637</t>
  </si>
  <si>
    <t>T10512</t>
  </si>
  <si>
    <t>2025-04-19</t>
  </si>
  <si>
    <t>C744</t>
  </si>
  <si>
    <t>T10513</t>
  </si>
  <si>
    <t>2023-04-15</t>
  </si>
  <si>
    <t>T10514</t>
  </si>
  <si>
    <t>2021-07-27</t>
  </si>
  <si>
    <t>T10515</t>
  </si>
  <si>
    <t>T10516</t>
  </si>
  <si>
    <t>C999</t>
  </si>
  <si>
    <t>T10517</t>
  </si>
  <si>
    <t>2021-09-03</t>
  </si>
  <si>
    <t>C998</t>
  </si>
  <si>
    <t>T10518</t>
  </si>
  <si>
    <t>C990</t>
  </si>
  <si>
    <t>T10519</t>
  </si>
  <si>
    <t>2024-08-27</t>
  </si>
  <si>
    <t>C186</t>
  </si>
  <si>
    <t>T10520</t>
  </si>
  <si>
    <t>2023-12-03</t>
  </si>
  <si>
    <t>T10521</t>
  </si>
  <si>
    <t>2023-09-28</t>
  </si>
  <si>
    <t>C939</t>
  </si>
  <si>
    <t>T10522</t>
  </si>
  <si>
    <t>2022-06-11</t>
  </si>
  <si>
    <t>C394</t>
  </si>
  <si>
    <t>T10523</t>
  </si>
  <si>
    <t>T10524</t>
  </si>
  <si>
    <t>T10525</t>
  </si>
  <si>
    <t>C801</t>
  </si>
  <si>
    <t>T10526</t>
  </si>
  <si>
    <t>2024-12-31</t>
  </si>
  <si>
    <t>T10527</t>
  </si>
  <si>
    <t>2024-01-25</t>
  </si>
  <si>
    <t>T10528</t>
  </si>
  <si>
    <t>C480</t>
  </si>
  <si>
    <t>T10529</t>
  </si>
  <si>
    <t>T10530</t>
  </si>
  <si>
    <t>2022-07-16</t>
  </si>
  <si>
    <t>T10531</t>
  </si>
  <si>
    <t>2024-11-09</t>
  </si>
  <si>
    <t>C266</t>
  </si>
  <si>
    <t>T10532</t>
  </si>
  <si>
    <t>2022-10-15</t>
  </si>
  <si>
    <t>T10533</t>
  </si>
  <si>
    <t>2024-12-29</t>
  </si>
  <si>
    <t>T10534</t>
  </si>
  <si>
    <t>2021-05-07</t>
  </si>
  <si>
    <t>C715</t>
  </si>
  <si>
    <t>T10535</t>
  </si>
  <si>
    <t>2022-10-29</t>
  </si>
  <si>
    <t>T10536</t>
  </si>
  <si>
    <t>2022-09-16</t>
  </si>
  <si>
    <t>C947</t>
  </si>
  <si>
    <t>T10537</t>
  </si>
  <si>
    <t>2025-05-05</t>
  </si>
  <si>
    <t>C115</t>
  </si>
  <si>
    <t>T10538</t>
  </si>
  <si>
    <t>2022-07-24</t>
  </si>
  <si>
    <t>T10539</t>
  </si>
  <si>
    <t>2023-07-28</t>
  </si>
  <si>
    <t>C661</t>
  </si>
  <si>
    <t>T10540</t>
  </si>
  <si>
    <t>2023-04-02</t>
  </si>
  <si>
    <t>C218</t>
  </si>
  <si>
    <t>T10541</t>
  </si>
  <si>
    <t>2022-02-13</t>
  </si>
  <si>
    <t>C924</t>
  </si>
  <si>
    <t>T10542</t>
  </si>
  <si>
    <t>C323</t>
  </si>
  <si>
    <t>T10543</t>
  </si>
  <si>
    <t>2022-11-25</t>
  </si>
  <si>
    <t>C832</t>
  </si>
  <si>
    <t>T10544</t>
  </si>
  <si>
    <t>2021-04-01</t>
  </si>
  <si>
    <t>T10545</t>
  </si>
  <si>
    <t>2025-09-05</t>
  </si>
  <si>
    <t>C509</t>
  </si>
  <si>
    <t>T10546</t>
  </si>
  <si>
    <t>T10547</t>
  </si>
  <si>
    <t>2021-04-21</t>
  </si>
  <si>
    <t>C176</t>
  </si>
  <si>
    <t>T10548</t>
  </si>
  <si>
    <t>2025-06-24</t>
  </si>
  <si>
    <t>T10549</t>
  </si>
  <si>
    <t>2022-01-16</t>
  </si>
  <si>
    <t>C659</t>
  </si>
  <si>
    <t>T10550</t>
  </si>
  <si>
    <t>2021-03-28</t>
  </si>
  <si>
    <t>C251</t>
  </si>
  <si>
    <t>T10551</t>
  </si>
  <si>
    <t>2021-11-29</t>
  </si>
  <si>
    <t>T10552</t>
  </si>
  <si>
    <t>2022-12-19</t>
  </si>
  <si>
    <t>C275</t>
  </si>
  <si>
    <t>T10553</t>
  </si>
  <si>
    <t>2021-09-28</t>
  </si>
  <si>
    <t>C678</t>
  </si>
  <si>
    <t>T10554</t>
  </si>
  <si>
    <t>2023-04-03</t>
  </si>
  <si>
    <t>T10555</t>
  </si>
  <si>
    <t>2024-04-26</t>
  </si>
  <si>
    <t>C183</t>
  </si>
  <si>
    <t>T10556</t>
  </si>
  <si>
    <t>2022-01-24</t>
  </si>
  <si>
    <t>T10557</t>
  </si>
  <si>
    <t>C950</t>
  </si>
  <si>
    <t>T10558</t>
  </si>
  <si>
    <t>2023-04-25</t>
  </si>
  <si>
    <t>T10559</t>
  </si>
  <si>
    <t>2024-08-23</t>
  </si>
  <si>
    <t>C948</t>
  </si>
  <si>
    <t>T10560</t>
  </si>
  <si>
    <t>2021-02-27</t>
  </si>
  <si>
    <t>C543</t>
  </si>
  <si>
    <t>T10561</t>
  </si>
  <si>
    <t>2024-01-10</t>
  </si>
  <si>
    <t>C886</t>
  </si>
  <si>
    <t>T10562</t>
  </si>
  <si>
    <t>2021-09-10</t>
  </si>
  <si>
    <t>T10563</t>
  </si>
  <si>
    <t>2021-07-01</t>
  </si>
  <si>
    <t>T10564</t>
  </si>
  <si>
    <t>C615</t>
  </si>
  <si>
    <t>T10565</t>
  </si>
  <si>
    <t>2025-12-02</t>
  </si>
  <si>
    <t>C567</t>
  </si>
  <si>
    <t>T10566</t>
  </si>
  <si>
    <t>2025-12-08</t>
  </si>
  <si>
    <t>C806</t>
  </si>
  <si>
    <t>T10567</t>
  </si>
  <si>
    <t>2024-06-03</t>
  </si>
  <si>
    <t>T10568</t>
  </si>
  <si>
    <t>T10569</t>
  </si>
  <si>
    <t>T10570</t>
  </si>
  <si>
    <t>T10571</t>
  </si>
  <si>
    <t>2025-07-01</t>
  </si>
  <si>
    <t>C225</t>
  </si>
  <si>
    <t>T10572</t>
  </si>
  <si>
    <t>C928</t>
  </si>
  <si>
    <t>T10573</t>
  </si>
  <si>
    <t>2024-04-25</t>
  </si>
  <si>
    <t>C473</t>
  </si>
  <si>
    <t>T10574</t>
  </si>
  <si>
    <t>C993</t>
  </si>
  <si>
    <t>T10575</t>
  </si>
  <si>
    <t>2025-03-17</t>
  </si>
  <si>
    <t>T10576</t>
  </si>
  <si>
    <t>2024-04-01</t>
  </si>
  <si>
    <t>C812</t>
  </si>
  <si>
    <t>T10577</t>
  </si>
  <si>
    <t>2022-08-25</t>
  </si>
  <si>
    <t>T10578</t>
  </si>
  <si>
    <t>2023-09-27</t>
  </si>
  <si>
    <t>T10579</t>
  </si>
  <si>
    <t>2021-11-01</t>
  </si>
  <si>
    <t>C452</t>
  </si>
  <si>
    <t>T10580</t>
  </si>
  <si>
    <t>2025-08-24</t>
  </si>
  <si>
    <t>C526</t>
  </si>
  <si>
    <t>T10581</t>
  </si>
  <si>
    <t>2022-11-22</t>
  </si>
  <si>
    <t>T10582</t>
  </si>
  <si>
    <t>C261</t>
  </si>
  <si>
    <t>T10583</t>
  </si>
  <si>
    <t>C925</t>
  </si>
  <si>
    <t>T10584</t>
  </si>
  <si>
    <t>C399</t>
  </si>
  <si>
    <t>T10585</t>
  </si>
  <si>
    <t>C538</t>
  </si>
  <si>
    <t>T10586</t>
  </si>
  <si>
    <t>2025-11-05</t>
  </si>
  <si>
    <t>T10587</t>
  </si>
  <si>
    <t>2021-01-17</t>
  </si>
  <si>
    <t>T10588</t>
  </si>
  <si>
    <t>2021-09-01</t>
  </si>
  <si>
    <t>T10589</t>
  </si>
  <si>
    <t>2024-10-18</t>
  </si>
  <si>
    <t>C233</t>
  </si>
  <si>
    <t>T10590</t>
  </si>
  <si>
    <t>2024-05-21</t>
  </si>
  <si>
    <t>T10591</t>
  </si>
  <si>
    <t>2021-10-05</t>
  </si>
  <si>
    <t>C960</t>
  </si>
  <si>
    <t>T10592</t>
  </si>
  <si>
    <t>2022-07-30</t>
  </si>
  <si>
    <t>T10593</t>
  </si>
  <si>
    <t>T10594</t>
  </si>
  <si>
    <t>2021-11-06</t>
  </si>
  <si>
    <t>C165</t>
  </si>
  <si>
    <t>T10595</t>
  </si>
  <si>
    <t>2023-03-05</t>
  </si>
  <si>
    <t>C238</t>
  </si>
  <si>
    <t>T10596</t>
  </si>
  <si>
    <t>2025-09-03</t>
  </si>
  <si>
    <t>T10597</t>
  </si>
  <si>
    <t>C390</t>
  </si>
  <si>
    <t>T10598</t>
  </si>
  <si>
    <t>2022-12-04</t>
  </si>
  <si>
    <t>C496</t>
  </si>
  <si>
    <t>T10599</t>
  </si>
  <si>
    <t>2021-08-29</t>
  </si>
  <si>
    <t>T10600</t>
  </si>
  <si>
    <t>2023-02-07</t>
  </si>
  <si>
    <t>T10601</t>
  </si>
  <si>
    <t>2025-06-03</t>
  </si>
  <si>
    <t>T10602</t>
  </si>
  <si>
    <t>2025-12-31</t>
  </si>
  <si>
    <t>C500</t>
  </si>
  <si>
    <t>T10603</t>
  </si>
  <si>
    <t>2021-03-06</t>
  </si>
  <si>
    <t>T10604</t>
  </si>
  <si>
    <t>T10605</t>
  </si>
  <si>
    <t>2024-04-18</t>
  </si>
  <si>
    <t>T10606</t>
  </si>
  <si>
    <t>2023-10-11</t>
  </si>
  <si>
    <t>C874</t>
  </si>
  <si>
    <t>T10607</t>
  </si>
  <si>
    <t>C521</t>
  </si>
  <si>
    <t>T10608</t>
  </si>
  <si>
    <t>2025-03-07</t>
  </si>
  <si>
    <t>C851</t>
  </si>
  <si>
    <t>T10609</t>
  </si>
  <si>
    <t>2025-12-04</t>
  </si>
  <si>
    <t>C321</t>
  </si>
  <si>
    <t>T10610</t>
  </si>
  <si>
    <t>C209</t>
  </si>
  <si>
    <t>T10611</t>
  </si>
  <si>
    <t>T10612</t>
  </si>
  <si>
    <t>2023-11-07</t>
  </si>
  <si>
    <t>C595</t>
  </si>
  <si>
    <t>T10613</t>
  </si>
  <si>
    <t>2024-12-23</t>
  </si>
  <si>
    <t>T10614</t>
  </si>
  <si>
    <t>2025-11-13</t>
  </si>
  <si>
    <t>C719</t>
  </si>
  <si>
    <t>T10615</t>
  </si>
  <si>
    <t>2023-06-19</t>
  </si>
  <si>
    <t>C203</t>
  </si>
  <si>
    <t>T10616</t>
  </si>
  <si>
    <t>2022-12-14</t>
  </si>
  <si>
    <t>T10617</t>
  </si>
  <si>
    <t>2025-10-05</t>
  </si>
  <si>
    <t>T10618</t>
  </si>
  <si>
    <t>2021-03-29</t>
  </si>
  <si>
    <t>C628</t>
  </si>
  <si>
    <t>T10619</t>
  </si>
  <si>
    <t>2021-11-27</t>
  </si>
  <si>
    <t>T10620</t>
  </si>
  <si>
    <t>2021-04-27</t>
  </si>
  <si>
    <t>T10621</t>
  </si>
  <si>
    <t>T10622</t>
  </si>
  <si>
    <t>T10623</t>
  </si>
  <si>
    <t>2024-07-06</t>
  </si>
  <si>
    <t>C253</t>
  </si>
  <si>
    <t>T10624</t>
  </si>
  <si>
    <t>2024-04-08</t>
  </si>
  <si>
    <t>C837</t>
  </si>
  <si>
    <t>T10625</t>
  </si>
  <si>
    <t>2023-05-01</t>
  </si>
  <si>
    <t>C785</t>
  </si>
  <si>
    <t>T10626</t>
  </si>
  <si>
    <t>2023-07-11</t>
  </si>
  <si>
    <t>T10627</t>
  </si>
  <si>
    <t>2022-12-15</t>
  </si>
  <si>
    <t>C905</t>
  </si>
  <si>
    <t>T10628</t>
  </si>
  <si>
    <t>2021-12-26</t>
  </si>
  <si>
    <t>C681</t>
  </si>
  <si>
    <t>T10629</t>
  </si>
  <si>
    <t>2023-08-19</t>
  </si>
  <si>
    <t>C258</t>
  </si>
  <si>
    <t>T10630</t>
  </si>
  <si>
    <t>2022-06-20</t>
  </si>
  <si>
    <t>C393</t>
  </si>
  <si>
    <t>T10631</t>
  </si>
  <si>
    <t>2022-09-20</t>
  </si>
  <si>
    <t>C593</t>
  </si>
  <si>
    <t>T10632</t>
  </si>
  <si>
    <t>2021-07-12</t>
  </si>
  <si>
    <t>C971</t>
  </si>
  <si>
    <t>T10633</t>
  </si>
  <si>
    <t>2022-10-28</t>
  </si>
  <si>
    <t>C811</t>
  </si>
  <si>
    <t>T10634</t>
  </si>
  <si>
    <t>2025-06-18</t>
  </si>
  <si>
    <t>T10635</t>
  </si>
  <si>
    <t>T10636</t>
  </si>
  <si>
    <t>C892</t>
  </si>
  <si>
    <t>T10637</t>
  </si>
  <si>
    <t>2022-09-23</t>
  </si>
  <si>
    <t>T10638</t>
  </si>
  <si>
    <t>2024-12-20</t>
  </si>
  <si>
    <t>C974</t>
  </si>
  <si>
    <t>T10639</t>
  </si>
  <si>
    <t>2024-09-15</t>
  </si>
  <si>
    <t>T10640</t>
  </si>
  <si>
    <t>2022-11-10</t>
  </si>
  <si>
    <t>T10641</t>
  </si>
  <si>
    <t>2025-01-27</t>
  </si>
  <si>
    <t>T10642</t>
  </si>
  <si>
    <t>2021-06-26</t>
  </si>
  <si>
    <t>T10643</t>
  </si>
  <si>
    <t>2021-04-22</t>
  </si>
  <si>
    <t>C180</t>
  </si>
  <si>
    <t>T10644</t>
  </si>
  <si>
    <t>2024-02-15</t>
  </si>
  <si>
    <t>T10645</t>
  </si>
  <si>
    <t>2021-04-03</t>
  </si>
  <si>
    <t>C868</t>
  </si>
  <si>
    <t>T10646</t>
  </si>
  <si>
    <t>2022-08-14</t>
  </si>
  <si>
    <t>T10647</t>
  </si>
  <si>
    <t>2025-07-08</t>
  </si>
  <si>
    <t>T10648</t>
  </si>
  <si>
    <t>T10649</t>
  </si>
  <si>
    <t>C935</t>
  </si>
  <si>
    <t>T10650</t>
  </si>
  <si>
    <t>2023-08-05</t>
  </si>
  <si>
    <t>C794</t>
  </si>
  <si>
    <t>T10651</t>
  </si>
  <si>
    <t>C467</t>
  </si>
  <si>
    <t>T10652</t>
  </si>
  <si>
    <t>T10653</t>
  </si>
  <si>
    <t>2021-09-15</t>
  </si>
  <si>
    <t>T10654</t>
  </si>
  <si>
    <t>2022-01-25</t>
  </si>
  <si>
    <t>T10655</t>
  </si>
  <si>
    <t>2025-10-19</t>
  </si>
  <si>
    <t>T10656</t>
  </si>
  <si>
    <t>2025-11-06</t>
  </si>
  <si>
    <t>C942</t>
  </si>
  <si>
    <t>T10657</t>
  </si>
  <si>
    <t>2025-06-13</t>
  </si>
  <si>
    <t>C518</t>
  </si>
  <si>
    <t>T10658</t>
  </si>
  <si>
    <t>2022-06-22</t>
  </si>
  <si>
    <t>T10659</t>
  </si>
  <si>
    <t>2023-04-16</t>
  </si>
  <si>
    <t>C968</t>
  </si>
  <si>
    <t>T10660</t>
  </si>
  <si>
    <t>2024-02-21</t>
  </si>
  <si>
    <t>C178</t>
  </si>
  <si>
    <t>T10661</t>
  </si>
  <si>
    <t>2024-03-24</t>
  </si>
  <si>
    <t>C732</t>
  </si>
  <si>
    <t>T10662</t>
  </si>
  <si>
    <t>2022-08-28</t>
  </si>
  <si>
    <t>C584</t>
  </si>
  <si>
    <t>T10663</t>
  </si>
  <si>
    <t>2021-12-14</t>
  </si>
  <si>
    <t>T10664</t>
  </si>
  <si>
    <t>T10665</t>
  </si>
  <si>
    <t>T10666</t>
  </si>
  <si>
    <t>2024-06-26</t>
  </si>
  <si>
    <t>C318</t>
  </si>
  <si>
    <t>T10667</t>
  </si>
  <si>
    <t>2024-06-07</t>
  </si>
  <si>
    <t>C195</t>
  </si>
  <si>
    <t>T10668</t>
  </si>
  <si>
    <t>T10669</t>
  </si>
  <si>
    <t>2023-04-06</t>
  </si>
  <si>
    <t>T10670</t>
  </si>
  <si>
    <t>2023-04-05</t>
  </si>
  <si>
    <t>T10671</t>
  </si>
  <si>
    <t>2021-03-08</t>
  </si>
  <si>
    <t>C239</t>
  </si>
  <si>
    <t>T10672</t>
  </si>
  <si>
    <t>2025-06-01</t>
  </si>
  <si>
    <t>C414</t>
  </si>
  <si>
    <t>T10673</t>
  </si>
  <si>
    <t>2023-11-11</t>
  </si>
  <si>
    <t>C918</t>
  </si>
  <si>
    <t>T10674</t>
  </si>
  <si>
    <t>2021-03-05</t>
  </si>
  <si>
    <t>T10675</t>
  </si>
  <si>
    <t>2021-02-25</t>
  </si>
  <si>
    <t>C230</t>
  </si>
  <si>
    <t>T10676</t>
  </si>
  <si>
    <t>2025-09-12</t>
  </si>
  <si>
    <t>C607</t>
  </si>
  <si>
    <t>T10677</t>
  </si>
  <si>
    <t>2022-05-17</t>
  </si>
  <si>
    <t>T10678</t>
  </si>
  <si>
    <t>2024-11-16</t>
  </si>
  <si>
    <t>C667</t>
  </si>
  <si>
    <t>T10679</t>
  </si>
  <si>
    <t>2023-03-03</t>
  </si>
  <si>
    <t>C215</t>
  </si>
  <si>
    <t>T10680</t>
  </si>
  <si>
    <t>T10681</t>
  </si>
  <si>
    <t>T10682</t>
  </si>
  <si>
    <t>2024-07-31</t>
  </si>
  <si>
    <t>C358</t>
  </si>
  <si>
    <t>T10683</t>
  </si>
  <si>
    <t>C460</t>
  </si>
  <si>
    <t>T10684</t>
  </si>
  <si>
    <t>2021-02-10</t>
  </si>
  <si>
    <t>T10685</t>
  </si>
  <si>
    <t>2021-05-25</t>
  </si>
  <si>
    <t>C617</t>
  </si>
  <si>
    <t>T10686</t>
  </si>
  <si>
    <t>2022-05-30</t>
  </si>
  <si>
    <t>C520</t>
  </si>
  <si>
    <t>T10687</t>
  </si>
  <si>
    <t>2021-04-18</t>
  </si>
  <si>
    <t>C211</t>
  </si>
  <si>
    <t>T10688</t>
  </si>
  <si>
    <t>2024-11-25</t>
  </si>
  <si>
    <t>C314</t>
  </si>
  <si>
    <t>T10689</t>
  </si>
  <si>
    <t>C962</t>
  </si>
  <si>
    <t>T10690</t>
  </si>
  <si>
    <t>C582</t>
  </si>
  <si>
    <t>T10691</t>
  </si>
  <si>
    <t>2021-05-04</t>
  </si>
  <si>
    <t>T10692</t>
  </si>
  <si>
    <t>2024-02-28</t>
  </si>
  <si>
    <t>C756</t>
  </si>
  <si>
    <t>T10693</t>
  </si>
  <si>
    <t>2025-02-22</t>
  </si>
  <si>
    <t>T10694</t>
  </si>
  <si>
    <t>2025-06-10</t>
  </si>
  <si>
    <t>C783</t>
  </si>
  <si>
    <t>T10695</t>
  </si>
  <si>
    <t>T10696</t>
  </si>
  <si>
    <t>T10697</t>
  </si>
  <si>
    <t>2022-03-15</t>
  </si>
  <si>
    <t>T10698</t>
  </si>
  <si>
    <t>T10699</t>
  </si>
  <si>
    <t>2021-09-13</t>
  </si>
  <si>
    <t>C976</t>
  </si>
  <si>
    <t>T10700</t>
  </si>
  <si>
    <t>2022-06-05</t>
  </si>
  <si>
    <t>C765</t>
  </si>
  <si>
    <t>T10701</t>
  </si>
  <si>
    <t>2023-04-18</t>
  </si>
  <si>
    <t>C572</t>
  </si>
  <si>
    <t>T10702</t>
  </si>
  <si>
    <t>2024-06-11</t>
  </si>
  <si>
    <t>C465</t>
  </si>
  <si>
    <t>T10703</t>
  </si>
  <si>
    <t>C889</t>
  </si>
  <si>
    <t>T10704</t>
  </si>
  <si>
    <t>2021-07-24</t>
  </si>
  <si>
    <t>T10705</t>
  </si>
  <si>
    <t>2021-06-18</t>
  </si>
  <si>
    <t>T10706</t>
  </si>
  <si>
    <t>2022-09-01</t>
  </si>
  <si>
    <t>C599</t>
  </si>
  <si>
    <t>T10707</t>
  </si>
  <si>
    <t>2024-07-23</t>
  </si>
  <si>
    <t>C412</t>
  </si>
  <si>
    <t>T10708</t>
  </si>
  <si>
    <t>2024-10-27</t>
  </si>
  <si>
    <t>T10709</t>
  </si>
  <si>
    <t>2022-05-28</t>
  </si>
  <si>
    <t>T10710</t>
  </si>
  <si>
    <t>2023-09-04</t>
  </si>
  <si>
    <t>T10711</t>
  </si>
  <si>
    <t>2021-09-11</t>
  </si>
  <si>
    <t>T10712</t>
  </si>
  <si>
    <t>2025-10-20</t>
  </si>
  <si>
    <t>T10713</t>
  </si>
  <si>
    <t>2023-01-25</t>
  </si>
  <si>
    <t>T10714</t>
  </si>
  <si>
    <t>2023-03-07</t>
  </si>
  <si>
    <t>T10715</t>
  </si>
  <si>
    <t>2022-04-28</t>
  </si>
  <si>
    <t>T10716</t>
  </si>
  <si>
    <t>2023-05-26</t>
  </si>
  <si>
    <t>C787</t>
  </si>
  <si>
    <t>T10717</t>
  </si>
  <si>
    <t>2025-02-15</t>
  </si>
  <si>
    <t>C605</t>
  </si>
  <si>
    <t>T10718</t>
  </si>
  <si>
    <t>2024-12-11</t>
  </si>
  <si>
    <t>T10719</t>
  </si>
  <si>
    <t>2022-10-17</t>
  </si>
  <si>
    <t>C119</t>
  </si>
  <si>
    <t>T10720</t>
  </si>
  <si>
    <t>2022-03-30</t>
  </si>
  <si>
    <t>T10721</t>
  </si>
  <si>
    <t>2025-11-24</t>
  </si>
  <si>
    <t>T10722</t>
  </si>
  <si>
    <t>2023-03-31</t>
  </si>
  <si>
    <t>T10723</t>
  </si>
  <si>
    <t>2024-08-09</t>
  </si>
  <si>
    <t>T10724</t>
  </si>
  <si>
    <t>2021-07-16</t>
  </si>
  <si>
    <t>T10725</t>
  </si>
  <si>
    <t>2025-08-08</t>
  </si>
  <si>
    <t>T10726</t>
  </si>
  <si>
    <t>2025-04-29</t>
  </si>
  <si>
    <t>C346</t>
  </si>
  <si>
    <t>T10727</t>
  </si>
  <si>
    <t>T10728</t>
  </si>
  <si>
    <t>2021-07-28</t>
  </si>
  <si>
    <t>T10729</t>
  </si>
  <si>
    <t>T10730</t>
  </si>
  <si>
    <t>2021-03-03</t>
  </si>
  <si>
    <t>T10731</t>
  </si>
  <si>
    <t>2024-03-07</t>
  </si>
  <si>
    <t>C222</t>
  </si>
  <si>
    <t>T10732</t>
  </si>
  <si>
    <t>T10733</t>
  </si>
  <si>
    <t>C190</t>
  </si>
  <si>
    <t>T10734</t>
  </si>
  <si>
    <t>T10735</t>
  </si>
  <si>
    <t>C265</t>
  </si>
  <si>
    <t>T10736</t>
  </si>
  <si>
    <t>T10737</t>
  </si>
  <si>
    <t>2022-06-29</t>
  </si>
  <si>
    <t>T10738</t>
  </si>
  <si>
    <t>2022-06-16</t>
  </si>
  <si>
    <t>C254</t>
  </si>
  <si>
    <t>T10739</t>
  </si>
  <si>
    <t>2021-07-05</t>
  </si>
  <si>
    <t>T10740</t>
  </si>
  <si>
    <t>2021-12-30</t>
  </si>
  <si>
    <t>T10741</t>
  </si>
  <si>
    <t>2025-04-12</t>
  </si>
  <si>
    <t>T10742</t>
  </si>
  <si>
    <t>C758</t>
  </si>
  <si>
    <t>T10743</t>
  </si>
  <si>
    <t>2025-12-29</t>
  </si>
  <si>
    <t>T10744</t>
  </si>
  <si>
    <t>2025-08-19</t>
  </si>
  <si>
    <t>T10745</t>
  </si>
  <si>
    <t>C975</t>
  </si>
  <si>
    <t>T10746</t>
  </si>
  <si>
    <t>2021-02-19</t>
  </si>
  <si>
    <t>T10747</t>
  </si>
  <si>
    <t>2021-08-18</t>
  </si>
  <si>
    <t>C638</t>
  </si>
  <si>
    <t>T10748</t>
  </si>
  <si>
    <t>T10749</t>
  </si>
  <si>
    <t>2023-05-13</t>
  </si>
  <si>
    <t>C175</t>
  </si>
  <si>
    <t>T10750</t>
  </si>
  <si>
    <t>2024-12-21</t>
  </si>
  <si>
    <t>C296</t>
  </si>
  <si>
    <t>T10751</t>
  </si>
  <si>
    <t>2023-09-02</t>
  </si>
  <si>
    <t>C749</t>
  </si>
  <si>
    <t>T10752</t>
  </si>
  <si>
    <t>T10753</t>
  </si>
  <si>
    <t>C389</t>
  </si>
  <si>
    <t>T10754</t>
  </si>
  <si>
    <t>2024-11-11</t>
  </si>
  <si>
    <t>T10755</t>
  </si>
  <si>
    <t>2024-11-26</t>
  </si>
  <si>
    <t>T10756</t>
  </si>
  <si>
    <t>T10757</t>
  </si>
  <si>
    <t>2021-03-11</t>
  </si>
  <si>
    <t>C386</t>
  </si>
  <si>
    <t>T10758</t>
  </si>
  <si>
    <t>C118</t>
  </si>
  <si>
    <t>T10759</t>
  </si>
  <si>
    <t>C157</t>
  </si>
  <si>
    <t>T10760</t>
  </si>
  <si>
    <t>2023-07-10</t>
  </si>
  <si>
    <t>T10761</t>
  </si>
  <si>
    <t>T10762</t>
  </si>
  <si>
    <t>2025-03-19</t>
  </si>
  <si>
    <t>C522</t>
  </si>
  <si>
    <t>T10763</t>
  </si>
  <si>
    <t>2021-02-08</t>
  </si>
  <si>
    <t>C382</t>
  </si>
  <si>
    <t>T10764</t>
  </si>
  <si>
    <t>2024-06-27</t>
  </si>
  <si>
    <t>T10765</t>
  </si>
  <si>
    <t>C919</t>
  </si>
  <si>
    <t>T10766</t>
  </si>
  <si>
    <t>2022-06-14</t>
  </si>
  <si>
    <t>T10767</t>
  </si>
  <si>
    <t>2025-05-24</t>
  </si>
  <si>
    <t>C738</t>
  </si>
  <si>
    <t>T10768</t>
  </si>
  <si>
    <t>2023-06-25</t>
  </si>
  <si>
    <t>C568</t>
  </si>
  <si>
    <t>T10769</t>
  </si>
  <si>
    <t>T10770</t>
  </si>
  <si>
    <t>2021-10-15</t>
  </si>
  <si>
    <t>T10771</t>
  </si>
  <si>
    <t>2022-06-24</t>
  </si>
  <si>
    <t>T10772</t>
  </si>
  <si>
    <t>C671</t>
  </si>
  <si>
    <t>T10773</t>
  </si>
  <si>
    <t>2022-08-15</t>
  </si>
  <si>
    <t>T10774</t>
  </si>
  <si>
    <t>2024-12-10</t>
  </si>
  <si>
    <t>T10775</t>
  </si>
  <si>
    <t>2022-08-02</t>
  </si>
  <si>
    <t>T10776</t>
  </si>
  <si>
    <t>T10777</t>
  </si>
  <si>
    <t>2025-06-25</t>
  </si>
  <si>
    <t>T10778</t>
  </si>
  <si>
    <t>2025-12-17</t>
  </si>
  <si>
    <t>T10779</t>
  </si>
  <si>
    <t>2022-02-03</t>
  </si>
  <si>
    <t>C934</t>
  </si>
  <si>
    <t>T10780</t>
  </si>
  <si>
    <t>2024-07-03</t>
  </si>
  <si>
    <t>C234</t>
  </si>
  <si>
    <t>T10781</t>
  </si>
  <si>
    <t>2022-01-01</t>
  </si>
  <si>
    <t>T10782</t>
  </si>
  <si>
    <t>2025-01-15</t>
  </si>
  <si>
    <t>T10783</t>
  </si>
  <si>
    <t>2021-07-22</t>
  </si>
  <si>
    <t>T10784</t>
  </si>
  <si>
    <t>2023-07-30</t>
  </si>
  <si>
    <t>T10785</t>
  </si>
  <si>
    <t>T10786</t>
  </si>
  <si>
    <t>T10787</t>
  </si>
  <si>
    <t>2023-06-20</t>
  </si>
  <si>
    <t>C276</t>
  </si>
  <si>
    <t>T10788</t>
  </si>
  <si>
    <t>2021-10-21</t>
  </si>
  <si>
    <t>C325</t>
  </si>
  <si>
    <t>T10789</t>
  </si>
  <si>
    <t>2023-03-10</t>
  </si>
  <si>
    <t>T10790</t>
  </si>
  <si>
    <t>C768</t>
  </si>
  <si>
    <t>T10791</t>
  </si>
  <si>
    <t>2024-09-07</t>
  </si>
  <si>
    <t>C909</t>
  </si>
  <si>
    <t>T10792</t>
  </si>
  <si>
    <t>2024-08-10</t>
  </si>
  <si>
    <t>T10793</t>
  </si>
  <si>
    <t>2023-04-09</t>
  </si>
  <si>
    <t>T10794</t>
  </si>
  <si>
    <t>C926</t>
  </si>
  <si>
    <t>T10795</t>
  </si>
  <si>
    <t>2021-12-10</t>
  </si>
  <si>
    <t>T10796</t>
  </si>
  <si>
    <t>2024-10-28</t>
  </si>
  <si>
    <t>C564</t>
  </si>
  <si>
    <t>T10797</t>
  </si>
  <si>
    <t>C800</t>
  </si>
  <si>
    <t>T10798</t>
  </si>
  <si>
    <t>2021-03-10</t>
  </si>
  <si>
    <t>C629</t>
  </si>
  <si>
    <t>T10799</t>
  </si>
  <si>
    <t>2025-02-04</t>
  </si>
  <si>
    <t>C995</t>
  </si>
  <si>
    <t>T10800</t>
  </si>
  <si>
    <t>2022-12-23</t>
  </si>
  <si>
    <t>C502</t>
  </si>
  <si>
    <t>T10801</t>
  </si>
  <si>
    <t>C642</t>
  </si>
  <si>
    <t>T10802</t>
  </si>
  <si>
    <t>2022-02-06</t>
  </si>
  <si>
    <t>C755</t>
  </si>
  <si>
    <t>T10803</t>
  </si>
  <si>
    <t>T10804</t>
  </si>
  <si>
    <t>2021-09-16</t>
  </si>
  <si>
    <t>T10805</t>
  </si>
  <si>
    <t>2024-11-04</t>
  </si>
  <si>
    <t>C842</t>
  </si>
  <si>
    <t>T10806</t>
  </si>
  <si>
    <t>T10807</t>
  </si>
  <si>
    <t>T10808</t>
  </si>
  <si>
    <t>2025-03-12</t>
  </si>
  <si>
    <t>C696</t>
  </si>
  <si>
    <t>T10809</t>
  </si>
  <si>
    <t>2023-08-13</t>
  </si>
  <si>
    <t>T10810</t>
  </si>
  <si>
    <t>2024-07-18</t>
  </si>
  <si>
    <t>C133</t>
  </si>
  <si>
    <t>T10811</t>
  </si>
  <si>
    <t>C672</t>
  </si>
  <si>
    <t>T10812</t>
  </si>
  <si>
    <t>T10813</t>
  </si>
  <si>
    <t>T10814</t>
  </si>
  <si>
    <t>2023-07-12</t>
  </si>
  <si>
    <t>C263</t>
  </si>
  <si>
    <t>T10815</t>
  </si>
  <si>
    <t>C854</t>
  </si>
  <si>
    <t>T10816</t>
  </si>
  <si>
    <t>T10817</t>
  </si>
  <si>
    <t>2023-03-08</t>
  </si>
  <si>
    <t>T10818</t>
  </si>
  <si>
    <t>2025-08-14</t>
  </si>
  <si>
    <t>C453</t>
  </si>
  <si>
    <t>T10819</t>
  </si>
  <si>
    <t>2022-09-08</t>
  </si>
  <si>
    <t>C338</t>
  </si>
  <si>
    <t>T10820</t>
  </si>
  <si>
    <t>2024-02-23</t>
  </si>
  <si>
    <t>C503</t>
  </si>
  <si>
    <t>T10821</t>
  </si>
  <si>
    <t>2023-11-03</t>
  </si>
  <si>
    <t>T10822</t>
  </si>
  <si>
    <t>C731</t>
  </si>
  <si>
    <t>T10823</t>
  </si>
  <si>
    <t>2021-11-21</t>
  </si>
  <si>
    <t>C646</t>
  </si>
  <si>
    <t>T10824</t>
  </si>
  <si>
    <t>T10825</t>
  </si>
  <si>
    <t>2022-09-24</t>
  </si>
  <si>
    <t>T10826</t>
  </si>
  <si>
    <t>2025-09-15</t>
  </si>
  <si>
    <t>T10827</t>
  </si>
  <si>
    <t>2025-04-13</t>
  </si>
  <si>
    <t>C691</t>
  </si>
  <si>
    <t>T10828</t>
  </si>
  <si>
    <t>2023-05-27</t>
  </si>
  <si>
    <t>C515</t>
  </si>
  <si>
    <t>T10829</t>
  </si>
  <si>
    <t>2023-11-21</t>
  </si>
  <si>
    <t>C554</t>
  </si>
  <si>
    <t>T10830</t>
  </si>
  <si>
    <t>2023-10-22</t>
  </si>
  <si>
    <t>C793</t>
  </si>
  <si>
    <t>T10831</t>
  </si>
  <si>
    <t>2025-01-31</t>
  </si>
  <si>
    <t>T10832</t>
  </si>
  <si>
    <t>2025-12-06</t>
  </si>
  <si>
    <t>C983</t>
  </si>
  <si>
    <t>T10833</t>
  </si>
  <si>
    <t>T10834</t>
  </si>
  <si>
    <t>2021-02-23</t>
  </si>
  <si>
    <t>T10835</t>
  </si>
  <si>
    <t>T10836</t>
  </si>
  <si>
    <t>2024-08-24</t>
  </si>
  <si>
    <t>T10837</t>
  </si>
  <si>
    <t>T10838</t>
  </si>
  <si>
    <t>2023-08-10</t>
  </si>
  <si>
    <t>T10839</t>
  </si>
  <si>
    <t>C838</t>
  </si>
  <si>
    <t>T10840</t>
  </si>
  <si>
    <t>2023-09-25</t>
  </si>
  <si>
    <t>C733</t>
  </si>
  <si>
    <t>T10841</t>
  </si>
  <si>
    <t>2022-04-22</t>
  </si>
  <si>
    <t>C795</t>
  </si>
  <si>
    <t>T10842</t>
  </si>
  <si>
    <t>2024-11-15</t>
  </si>
  <si>
    <t>T10843</t>
  </si>
  <si>
    <t>T10844</t>
  </si>
  <si>
    <t>C578</t>
  </si>
  <si>
    <t>T10845</t>
  </si>
  <si>
    <t>2022-04-01</t>
  </si>
  <si>
    <t>C705</t>
  </si>
  <si>
    <t>T10846</t>
  </si>
  <si>
    <t>2023-07-03</t>
  </si>
  <si>
    <t>T10847</t>
  </si>
  <si>
    <t>C217</t>
  </si>
  <si>
    <t>T10848</t>
  </si>
  <si>
    <t>2025-10-25</t>
  </si>
  <si>
    <t>T10849</t>
  </si>
  <si>
    <t>2024-01-21</t>
  </si>
  <si>
    <t>T10850</t>
  </si>
  <si>
    <t>2021-01-10</t>
  </si>
  <si>
    <t>T10851</t>
  </si>
  <si>
    <t>2023-03-21</t>
  </si>
  <si>
    <t>C866</t>
  </si>
  <si>
    <t>T10852</t>
  </si>
  <si>
    <t>2024-12-06</t>
  </si>
  <si>
    <t>T10853</t>
  </si>
  <si>
    <t>2023-11-04</t>
  </si>
  <si>
    <t>T10854</t>
  </si>
  <si>
    <t>2025-03-14</t>
  </si>
  <si>
    <t>T10855</t>
  </si>
  <si>
    <t>C426</t>
  </si>
  <si>
    <t>T10856</t>
  </si>
  <si>
    <t>2024-05-19</t>
  </si>
  <si>
    <t>C205</t>
  </si>
  <si>
    <t>T10857</t>
  </si>
  <si>
    <t>2021-05-24</t>
  </si>
  <si>
    <t>T10858</t>
  </si>
  <si>
    <t>T10859</t>
  </si>
  <si>
    <t>2024-09-09</t>
  </si>
  <si>
    <t>C657</t>
  </si>
  <si>
    <t>T10860</t>
  </si>
  <si>
    <t>C973</t>
  </si>
  <si>
    <t>T10861</t>
  </si>
  <si>
    <t>T10862</t>
  </si>
  <si>
    <t>2025-03-28</t>
  </si>
  <si>
    <t>C214</t>
  </si>
  <si>
    <t>T10863</t>
  </si>
  <si>
    <t>2024-07-01</t>
  </si>
  <si>
    <t>T10864</t>
  </si>
  <si>
    <t>2024-06-14</t>
  </si>
  <si>
    <t>T10865</t>
  </si>
  <si>
    <t>C570</t>
  </si>
  <si>
    <t>T10866</t>
  </si>
  <si>
    <t>C445</t>
  </si>
  <si>
    <t>T10867</t>
  </si>
  <si>
    <t>2024-05-12</t>
  </si>
  <si>
    <t>T10868</t>
  </si>
  <si>
    <t>C666</t>
  </si>
  <si>
    <t>T10869</t>
  </si>
  <si>
    <t>2021-09-08</t>
  </si>
  <si>
    <t>C989</t>
  </si>
  <si>
    <t>T10870</t>
  </si>
  <si>
    <t>2024-07-08</t>
  </si>
  <si>
    <t>C574</t>
  </si>
  <si>
    <t>T10871</t>
  </si>
  <si>
    <t>C100</t>
  </si>
  <si>
    <t>T10872</t>
  </si>
  <si>
    <t>2023-09-23</t>
  </si>
  <si>
    <t>C929</t>
  </si>
  <si>
    <t>T10873</t>
  </si>
  <si>
    <t>2024-03-15</t>
  </si>
  <si>
    <t>T10874</t>
  </si>
  <si>
    <t>T10875</t>
  </si>
  <si>
    <t>2024-11-22</t>
  </si>
  <si>
    <t>T10876</t>
  </si>
  <si>
    <t>C577</t>
  </si>
  <si>
    <t>T10877</t>
  </si>
  <si>
    <t>T10878</t>
  </si>
  <si>
    <t>2025-04-09</t>
  </si>
  <si>
    <t>T10879</t>
  </si>
  <si>
    <t>T10880</t>
  </si>
  <si>
    <t>2021-03-01</t>
  </si>
  <si>
    <t>C279</t>
  </si>
  <si>
    <t>T10881</t>
  </si>
  <si>
    <t>C694</t>
  </si>
  <si>
    <t>T10882</t>
  </si>
  <si>
    <t>2022-09-13</t>
  </si>
  <si>
    <t>T10883</t>
  </si>
  <si>
    <t>T10884</t>
  </si>
  <si>
    <t>2022-03-01</t>
  </si>
  <si>
    <t>T10885</t>
  </si>
  <si>
    <t>2022-11-12</t>
  </si>
  <si>
    <t>T10886</t>
  </si>
  <si>
    <t>2025-03-23</t>
  </si>
  <si>
    <t>T10887</t>
  </si>
  <si>
    <t>2022-07-21</t>
  </si>
  <si>
    <t>C427</t>
  </si>
  <si>
    <t>T10888</t>
  </si>
  <si>
    <t>2025-07-09</t>
  </si>
  <si>
    <t>T10889</t>
  </si>
  <si>
    <t>2021-07-17</t>
  </si>
  <si>
    <t>T10890</t>
  </si>
  <si>
    <t>C242</t>
  </si>
  <si>
    <t>T10891</t>
  </si>
  <si>
    <t>2022-05-03</t>
  </si>
  <si>
    <t>C373</t>
  </si>
  <si>
    <t>T10892</t>
  </si>
  <si>
    <t>2025-08-02</t>
  </si>
  <si>
    <t>T10893</t>
  </si>
  <si>
    <t>C104</t>
  </si>
  <si>
    <t>T10894</t>
  </si>
  <si>
    <t>2024-01-11</t>
  </si>
  <si>
    <t>C746</t>
  </si>
  <si>
    <t>T10895</t>
  </si>
  <si>
    <t>2022-08-18</t>
  </si>
  <si>
    <t>C298</t>
  </si>
  <si>
    <t>T10896</t>
  </si>
  <si>
    <t>2024-04-02</t>
  </si>
  <si>
    <t>C815</t>
  </si>
  <si>
    <t>T10897</t>
  </si>
  <si>
    <t>2021-08-03</t>
  </si>
  <si>
    <t>C964</t>
  </si>
  <si>
    <t>T10898</t>
  </si>
  <si>
    <t>C818</t>
  </si>
  <si>
    <t>T10899</t>
  </si>
  <si>
    <t>C693</t>
  </si>
  <si>
    <t>T10900</t>
  </si>
  <si>
    <t>2022-03-12</t>
  </si>
  <si>
    <t>T10901</t>
  </si>
  <si>
    <t>2021-11-16</t>
  </si>
  <si>
    <t>T10902</t>
  </si>
  <si>
    <t>2025-09-27</t>
  </si>
  <si>
    <t>T10903</t>
  </si>
  <si>
    <t>T10904</t>
  </si>
  <si>
    <t>2021-04-10</t>
  </si>
  <si>
    <t>T10905</t>
  </si>
  <si>
    <t>2022-12-07</t>
  </si>
  <si>
    <t>T10906</t>
  </si>
  <si>
    <t>C189</t>
  </si>
  <si>
    <t>T10907</t>
  </si>
  <si>
    <t>T10908</t>
  </si>
  <si>
    <t>T10909</t>
  </si>
  <si>
    <t>2025-07-06</t>
  </si>
  <si>
    <t>C264</t>
  </si>
  <si>
    <t>T10910</t>
  </si>
  <si>
    <t>2023-03-12</t>
  </si>
  <si>
    <t>T10911</t>
  </si>
  <si>
    <t>2024-12-07</t>
  </si>
  <si>
    <t>T10912</t>
  </si>
  <si>
    <t>2025-11-25</t>
  </si>
  <si>
    <t>T10913</t>
  </si>
  <si>
    <t>T10914</t>
  </si>
  <si>
    <t>2023-11-14</t>
  </si>
  <si>
    <t>T10915</t>
  </si>
  <si>
    <t>C152</t>
  </si>
  <si>
    <t>T10916</t>
  </si>
  <si>
    <t>T10917</t>
  </si>
  <si>
    <t>2023-12-20</t>
  </si>
  <si>
    <t>C376</t>
  </si>
  <si>
    <t>T10918</t>
  </si>
  <si>
    <t>C825</t>
  </si>
  <si>
    <t>T10919</t>
  </si>
  <si>
    <t>2021-10-23</t>
  </si>
  <si>
    <t>T10920</t>
  </si>
  <si>
    <t>2025-09-20</t>
  </si>
  <si>
    <t>T10921</t>
  </si>
  <si>
    <t>2023-02-20</t>
  </si>
  <si>
    <t>T10922</t>
  </si>
  <si>
    <t>2024-09-10</t>
  </si>
  <si>
    <t>C310</t>
  </si>
  <si>
    <t>T10923</t>
  </si>
  <si>
    <t>2022-01-04</t>
  </si>
  <si>
    <t>T10924</t>
  </si>
  <si>
    <t>2023-05-30</t>
  </si>
  <si>
    <t>T10925</t>
  </si>
  <si>
    <t>2021-09-06</t>
  </si>
  <si>
    <t>C958</t>
  </si>
  <si>
    <t>T10926</t>
  </si>
  <si>
    <t>T10927</t>
  </si>
  <si>
    <t>C613</t>
  </si>
  <si>
    <t>T10928</t>
  </si>
  <si>
    <t>C872</t>
  </si>
  <si>
    <t>T10929</t>
  </si>
  <si>
    <t>2024-09-05</t>
  </si>
  <si>
    <t>T10930</t>
  </si>
  <si>
    <t>2025-09-29</t>
  </si>
  <si>
    <t>C402</t>
  </si>
  <si>
    <t>T10931</t>
  </si>
  <si>
    <t>T10932</t>
  </si>
  <si>
    <t>2024-11-28</t>
  </si>
  <si>
    <t>T10933</t>
  </si>
  <si>
    <t>C861</t>
  </si>
  <si>
    <t>T10934</t>
  </si>
  <si>
    <t>2024-05-08</t>
  </si>
  <si>
    <t>T10935</t>
  </si>
  <si>
    <t>2024-11-01</t>
  </si>
  <si>
    <t>C232</t>
  </si>
  <si>
    <t>T10936</t>
  </si>
  <si>
    <t>2022-06-03</t>
  </si>
  <si>
    <t>C486</t>
  </si>
  <si>
    <t>T10937</t>
  </si>
  <si>
    <t>2025-11-03</t>
  </si>
  <si>
    <t>T10938</t>
  </si>
  <si>
    <t>T10939</t>
  </si>
  <si>
    <t>2022-03-11</t>
  </si>
  <si>
    <t>C135</t>
  </si>
  <si>
    <t>T10940</t>
  </si>
  <si>
    <t>C192</t>
  </si>
  <si>
    <t>T10941</t>
  </si>
  <si>
    <t>2022-01-19</t>
  </si>
  <si>
    <t>T10942</t>
  </si>
  <si>
    <t>T10943</t>
  </si>
  <si>
    <t>T10944</t>
  </si>
  <si>
    <t>2023-12-08</t>
  </si>
  <si>
    <t>T10945</t>
  </si>
  <si>
    <t>2023-06-10</t>
  </si>
  <si>
    <t>T10946</t>
  </si>
  <si>
    <t>2025-05-18</t>
  </si>
  <si>
    <t>T10947</t>
  </si>
  <si>
    <t>2025-08-28</t>
  </si>
  <si>
    <t>T10948</t>
  </si>
  <si>
    <t>T10949</t>
  </si>
  <si>
    <t>2023-01-01</t>
  </si>
  <si>
    <t>C673</t>
  </si>
  <si>
    <t>T10950</t>
  </si>
  <si>
    <t>2022-12-31</t>
  </si>
  <si>
    <t>T10951</t>
  </si>
  <si>
    <t>T10952</t>
  </si>
  <si>
    <t>2021-04-29</t>
  </si>
  <si>
    <t>T10953</t>
  </si>
  <si>
    <t>2025-03-16</t>
  </si>
  <si>
    <t>C494</t>
  </si>
  <si>
    <t>T10954</t>
  </si>
  <si>
    <t>2023-11-27</t>
  </si>
  <si>
    <t>T10955</t>
  </si>
  <si>
    <t>T10956</t>
  </si>
  <si>
    <t>2024-01-26</t>
  </si>
  <si>
    <t>T10957</t>
  </si>
  <si>
    <t>C551</t>
  </si>
  <si>
    <t>T10958</t>
  </si>
  <si>
    <t>2021-11-04</t>
  </si>
  <si>
    <t>T10959</t>
  </si>
  <si>
    <t>2021-01-22</t>
  </si>
  <si>
    <t>C110</t>
  </si>
  <si>
    <t>T10960</t>
  </si>
  <si>
    <t>2021-09-19</t>
  </si>
  <si>
    <t>T10961</t>
  </si>
  <si>
    <t>C996</t>
  </si>
  <si>
    <t>T10962</t>
  </si>
  <si>
    <t>2021-03-25</t>
  </si>
  <si>
    <t>C451</t>
  </si>
  <si>
    <t>T10963</t>
  </si>
  <si>
    <t>T10964</t>
  </si>
  <si>
    <t>T10965</t>
  </si>
  <si>
    <t>2022-08-07</t>
  </si>
  <si>
    <t>T10966</t>
  </si>
  <si>
    <t>2021-02-17</t>
  </si>
  <si>
    <t>C535</t>
  </si>
  <si>
    <t>T10967</t>
  </si>
  <si>
    <t>2024-10-07</t>
  </si>
  <si>
    <t>C108</t>
  </si>
  <si>
    <t>T10968</t>
  </si>
  <si>
    <t>T10969</t>
  </si>
  <si>
    <t>T10970</t>
  </si>
  <si>
    <t>2025-10-15</t>
  </si>
  <si>
    <t>C857</t>
  </si>
  <si>
    <t>T10971</t>
  </si>
  <si>
    <t>2022-09-21</t>
  </si>
  <si>
    <t>T10972</t>
  </si>
  <si>
    <t>2023-11-08</t>
  </si>
  <si>
    <t>T10973</t>
  </si>
  <si>
    <t>2023-09-07</t>
  </si>
  <si>
    <t>T10974</t>
  </si>
  <si>
    <t>2021-12-29</t>
  </si>
  <si>
    <t>T10975</t>
  </si>
  <si>
    <t>T10976</t>
  </si>
  <si>
    <t>2022-06-09</t>
  </si>
  <si>
    <t>T10977</t>
  </si>
  <si>
    <t>2025-04-07</t>
  </si>
  <si>
    <t>C103</t>
  </si>
  <si>
    <t>T10978</t>
  </si>
  <si>
    <t>C485</t>
  </si>
  <si>
    <t>T10979</t>
  </si>
  <si>
    <t>2024-08-20</t>
  </si>
  <si>
    <t>T10980</t>
  </si>
  <si>
    <t>2021-10-09</t>
  </si>
  <si>
    <t>T10981</t>
  </si>
  <si>
    <t>2025-05-17</t>
  </si>
  <si>
    <t>T10982</t>
  </si>
  <si>
    <t>2022-12-28</t>
  </si>
  <si>
    <t>T10983</t>
  </si>
  <si>
    <t>2023-04-23</t>
  </si>
  <si>
    <t>C530</t>
  </si>
  <si>
    <t>T10984</t>
  </si>
  <si>
    <t>C447</t>
  </si>
  <si>
    <t>T10985</t>
  </si>
  <si>
    <t>2024-02-17</t>
  </si>
  <si>
    <t>T10986</t>
  </si>
  <si>
    <t>2022-06-06</t>
  </si>
  <si>
    <t>T10987</t>
  </si>
  <si>
    <t>2022-04-05</t>
  </si>
  <si>
    <t>T10988</t>
  </si>
  <si>
    <t>T10989</t>
  </si>
  <si>
    <t>T10990</t>
  </si>
  <si>
    <t>2021-02-21</t>
  </si>
  <si>
    <t>T10991</t>
  </si>
  <si>
    <t>C483</t>
  </si>
  <si>
    <t>T10992</t>
  </si>
  <si>
    <t>2023-07-23</t>
  </si>
  <si>
    <t>C611</t>
  </si>
  <si>
    <t>T10993</t>
  </si>
  <si>
    <t>T10994</t>
  </si>
  <si>
    <t>2023-04-10</t>
  </si>
  <si>
    <t>T10995</t>
  </si>
  <si>
    <t>C662</t>
  </si>
  <si>
    <t>T10996</t>
  </si>
  <si>
    <t>2024-10-24</t>
  </si>
  <si>
    <t>C413</t>
  </si>
  <si>
    <t>T10997</t>
  </si>
  <si>
    <t>T10998</t>
  </si>
  <si>
    <t>2022-11-16</t>
  </si>
  <si>
    <t>C952</t>
  </si>
  <si>
    <t>T10999</t>
  </si>
  <si>
    <t>2025-11-08</t>
  </si>
  <si>
    <t>FINANCE ANALYTICS DASHBOARD  (2021 - 2025)</t>
  </si>
  <si>
    <t>Total Revenue</t>
  </si>
  <si>
    <t>Total Expense</t>
  </si>
  <si>
    <t>Net Profit</t>
  </si>
  <si>
    <t>Avg Transaction</t>
  </si>
  <si>
    <t>Transactions</t>
  </si>
  <si>
    <t>Profit</t>
  </si>
  <si>
    <t>NetProfit</t>
  </si>
  <si>
    <t>Sum of ProfitLoss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</si>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</sst>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color rgb="FFFFFFFF"/>
      <name val="Calibri"/>
    </font>
    <font>
      <b/>
      <sz val="11"/>
      <color rgb="FFFFFFFF"/>
      <name val="Calibri"/>
    </font>
    <font>
      <sz val="11"/>
      <color rgb="FFFFFFFF"/>
      <name val="Calibri"/>
    </font>
  </fonts>
  <fills count="9">
    <fill>
      <patternFill patternType="none"/>
    </fill>
    <fill>
      <patternFill patternType="gray125"/>
    </fill>
    <fill>
      <patternFill patternType="solid">
        <fgColor rgb="FF111318"/>
        <bgColor rgb="FF111318"/>
      </patternFill>
    </fill>
    <fill>
      <patternFill patternType="solid">
        <fgColor rgb="FF1F2632"/>
        <bgColor rgb="FF1F2632"/>
      </patternFill>
    </fill>
    <fill>
      <patternFill patternType="solid">
        <fgColor rgb="FF2EE7C6"/>
        <bgColor rgb="FF2EE7C6"/>
      </patternFill>
    </fill>
    <fill>
      <patternFill patternType="solid">
        <fgColor rgb="FFFF7A5A"/>
        <bgColor rgb="FFFF7A5A"/>
      </patternFill>
    </fill>
    <fill>
      <patternFill patternType="solid">
        <fgColor rgb="FFFFD166"/>
        <bgColor rgb="FFFFD166"/>
      </patternFill>
    </fill>
    <fill>
      <patternFill patternType="solid">
        <fgColor rgb="FF70AD47"/>
        <bgColor rgb="FF70AD47"/>
      </patternFill>
    </fill>
    <fill>
      <patternFill patternType="solid">
        <fgColor rgb="FF5B9BD5"/>
        <bgColor rgb="FF5B9BD5"/>
      </patternFill>
    </fill>
  </fills>
  <borders count="1">
    <border>
      <left/>
      <right/>
      <top/>
      <bottom/>
      <diagonal/>
    </border>
  </borders>
  <cellStyleXfs count="1">
    <xf numFmtId="0" fontId="0" fillId="0" borderId="0"/>
  </cellStyleXfs>
  <cellXfs count="23">
    <xf numFmtId="0" fontId="0" fillId="0" borderId="0" xfId="0"/>
    <xf numFmtId="0" fontId="0" fillId="2" borderId="0" xfId="0" applyFill="1"/>
    <xf numFmtId="0" fontId="2" fillId="4" borderId="0" xfId="0" applyFont="1" applyFill="1" applyAlignment="1">
      <alignment horizontal="center"/>
    </xf>
    <xf numFmtId="0" fontId="0" fillId="4" borderId="0" xfId="0" applyFill="1"/>
    <xf numFmtId="0" fontId="2" fillId="5" borderId="0" xfId="0" applyFont="1" applyFill="1" applyAlignment="1">
      <alignment horizontal="center"/>
    </xf>
    <xf numFmtId="0" fontId="0" fillId="5" borderId="0" xfId="0" applyFill="1"/>
    <xf numFmtId="0" fontId="2" fillId="6" borderId="0" xfId="0" applyFont="1" applyFill="1" applyAlignment="1">
      <alignment horizontal="center"/>
    </xf>
    <xf numFmtId="0" fontId="0" fillId="6" borderId="0" xfId="0" applyFill="1"/>
    <xf numFmtId="0" fontId="2" fillId="7" borderId="0" xfId="0" applyFont="1" applyFill="1" applyAlignment="1">
      <alignment horizontal="center"/>
    </xf>
    <xf numFmtId="0" fontId="0" fillId="7" borderId="0" xfId="0" applyFill="1"/>
    <xf numFmtId="0" fontId="2" fillId="8" borderId="0" xfId="0" applyFont="1" applyFill="1" applyAlignment="1">
      <alignment horizontal="center"/>
    </xf>
    <xf numFmtId="0" fontId="0" fillId="8" borderId="0" xfId="0" applyFill="1"/>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2" fillId="2" borderId="0" xfId="0" applyFont="1" applyFill="1"/>
    <xf numFmtId="0" fontId="3" fillId="2" borderId="0" xfId="0" applyFont="1" applyFill="1"/>
    <xf numFmtId="0" fontId="0" fillId="0" borderId="0" xfId="0" pivotButton="1"/>
    <xf numFmtId="0" fontId="0" fillId="0" borderId="0" xfId="0" applyAlignment="1">
      <alignment horizontal="left"/>
    </xf>
    <xf numFmtId="0" fontId="1" fillId="3" borderId="0" xfId="0" applyFont="1" applyFill="1" applyAlignment="1">
      <alignment horizontal="center" vertical="center"/>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by Region</a:t>
            </a:r>
          </a:p>
        </c:rich>
      </c:tx>
      <c:layout>
        <c:manualLayout>
          <c:xMode val="edge"/>
          <c:yMode val="edge"/>
          <c:x val="0.32662855499226973"/>
          <c:y val="3.03030303030303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Dashboard!$B$6</c:f>
              <c:strCache>
                <c:ptCount val="1"/>
                <c:pt idx="0">
                  <c:v>Profit</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Dashboard!$A$7:$A$10</c:f>
              <c:strCache>
                <c:ptCount val="4"/>
                <c:pt idx="0">
                  <c:v>East</c:v>
                </c:pt>
                <c:pt idx="1">
                  <c:v>North</c:v>
                </c:pt>
                <c:pt idx="2">
                  <c:v>South</c:v>
                </c:pt>
                <c:pt idx="3">
                  <c:v>West</c:v>
                </c:pt>
              </c:strCache>
            </c:strRef>
          </c:cat>
          <c:val>
            <c:numRef>
              <c:f>Dashboard!$B$7:$B$10</c:f>
              <c:numCache>
                <c:formatCode>General</c:formatCode>
                <c:ptCount val="4"/>
                <c:pt idx="0">
                  <c:v>-3240039.26</c:v>
                </c:pt>
                <c:pt idx="1">
                  <c:v>-5906471.9299999997</c:v>
                </c:pt>
                <c:pt idx="2">
                  <c:v>-5780846.3499999996</c:v>
                </c:pt>
                <c:pt idx="3">
                  <c:v>-4606381.5999999996</c:v>
                </c:pt>
              </c:numCache>
            </c:numRef>
          </c:val>
          <c:extLst>
            <c:ext xmlns:c16="http://schemas.microsoft.com/office/drawing/2014/chart" uri="{C3380CC4-5D6E-409C-BE32-E72D297353CC}">
              <c16:uniqueId val="{00000000-229D-4FAC-8B63-A79207C44403}"/>
            </c:ext>
          </c:extLst>
        </c:ser>
        <c:dLbls>
          <c:dLblPos val="inEnd"/>
          <c:showLegendKey val="0"/>
          <c:showVal val="1"/>
          <c:showCatName val="0"/>
          <c:showSerName val="0"/>
          <c:showPercent val="0"/>
          <c:showBubbleSize val="0"/>
        </c:dLbls>
        <c:gapWidth val="100"/>
        <c:overlap val="-24"/>
        <c:axId val="10"/>
        <c:axId val="100"/>
      </c:barChart>
      <c:catAx>
        <c:axId val="1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vs Expense by Year</a:t>
            </a:r>
          </a:p>
        </c:rich>
      </c:tx>
      <c:layout>
        <c:manualLayout>
          <c:xMode val="edge"/>
          <c:yMode val="edge"/>
          <c:x val="0.26570035197213254"/>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802696128952467"/>
          <c:w val="0.93905817174515238"/>
          <c:h val="0.64912194486327512"/>
        </c:manualLayout>
      </c:layout>
      <c:pie3DChart>
        <c:varyColors val="1"/>
        <c:ser>
          <c:idx val="0"/>
          <c:order val="0"/>
          <c:tx>
            <c:strRef>
              <c:f>Dashboard!$G$6</c:f>
              <c:strCache>
                <c:ptCount val="1"/>
                <c:pt idx="0">
                  <c:v>Revenue</c:v>
                </c:pt>
              </c:strCache>
            </c:strRef>
          </c:tx>
          <c:dPt>
            <c:idx val="0"/>
            <c:bubble3D val="0"/>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1-7898-4640-8E12-EE6CB572EA6E}"/>
              </c:ext>
            </c:extLst>
          </c:dPt>
          <c:dPt>
            <c:idx val="1"/>
            <c:bubble3D val="0"/>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3-7898-4640-8E12-EE6CB572EA6E}"/>
              </c:ext>
            </c:extLst>
          </c:dPt>
          <c:dPt>
            <c:idx val="2"/>
            <c:bubble3D val="0"/>
            <c:spPr>
              <a:gradFill rotWithShape="1">
                <a:gsLst>
                  <a:gs pos="0">
                    <a:schemeClr val="accent3">
                      <a:tint val="74000"/>
                    </a:schemeClr>
                  </a:gs>
                  <a:gs pos="49000">
                    <a:schemeClr val="accent3">
                      <a:tint val="96000"/>
                      <a:shade val="84000"/>
                      <a:satMod val="110000"/>
                    </a:schemeClr>
                  </a:gs>
                  <a:gs pos="49100">
                    <a:schemeClr val="accent3">
                      <a:shade val="55000"/>
                      <a:satMod val="150000"/>
                    </a:schemeClr>
                  </a:gs>
                  <a:gs pos="92000">
                    <a:schemeClr val="accent3">
                      <a:tint val="98000"/>
                      <a:shade val="90000"/>
                      <a:satMod val="128000"/>
                    </a:schemeClr>
                  </a:gs>
                  <a:gs pos="100000">
                    <a:schemeClr val="accent3">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5-7898-4640-8E12-EE6CB572EA6E}"/>
              </c:ext>
            </c:extLst>
          </c:dPt>
          <c:dPt>
            <c:idx val="3"/>
            <c:bubble3D val="0"/>
            <c:spPr>
              <a:gradFill rotWithShape="1">
                <a:gsLst>
                  <a:gs pos="0">
                    <a:schemeClr val="accent4">
                      <a:tint val="74000"/>
                    </a:schemeClr>
                  </a:gs>
                  <a:gs pos="49000">
                    <a:schemeClr val="accent4">
                      <a:tint val="96000"/>
                      <a:shade val="84000"/>
                      <a:satMod val="110000"/>
                    </a:schemeClr>
                  </a:gs>
                  <a:gs pos="49100">
                    <a:schemeClr val="accent4">
                      <a:shade val="55000"/>
                      <a:satMod val="150000"/>
                    </a:schemeClr>
                  </a:gs>
                  <a:gs pos="92000">
                    <a:schemeClr val="accent4">
                      <a:tint val="98000"/>
                      <a:shade val="90000"/>
                      <a:satMod val="128000"/>
                    </a:schemeClr>
                  </a:gs>
                  <a:gs pos="100000">
                    <a:schemeClr val="accent4">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7-7898-4640-8E12-EE6CB572EA6E}"/>
              </c:ext>
            </c:extLst>
          </c:dPt>
          <c:dPt>
            <c:idx val="4"/>
            <c:bubble3D val="0"/>
            <c:spPr>
              <a:gradFill rotWithShape="1">
                <a:gsLst>
                  <a:gs pos="0">
                    <a:schemeClr val="accent5">
                      <a:tint val="74000"/>
                    </a:schemeClr>
                  </a:gs>
                  <a:gs pos="49000">
                    <a:schemeClr val="accent5">
                      <a:tint val="96000"/>
                      <a:shade val="84000"/>
                      <a:satMod val="110000"/>
                    </a:schemeClr>
                  </a:gs>
                  <a:gs pos="49100">
                    <a:schemeClr val="accent5">
                      <a:shade val="55000"/>
                      <a:satMod val="150000"/>
                    </a:schemeClr>
                  </a:gs>
                  <a:gs pos="92000">
                    <a:schemeClr val="accent5">
                      <a:tint val="98000"/>
                      <a:shade val="90000"/>
                      <a:satMod val="128000"/>
                    </a:schemeClr>
                  </a:gs>
                  <a:gs pos="100000">
                    <a:schemeClr val="accent5">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9-7898-4640-8E12-EE6CB572EA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numRef>
              <c:f>Dashboard!$F$7:$F$11</c:f>
              <c:numCache>
                <c:formatCode>General</c:formatCode>
                <c:ptCount val="5"/>
                <c:pt idx="0">
                  <c:v>2021</c:v>
                </c:pt>
                <c:pt idx="1">
                  <c:v>2022</c:v>
                </c:pt>
                <c:pt idx="2">
                  <c:v>2023</c:v>
                </c:pt>
                <c:pt idx="3">
                  <c:v>2024</c:v>
                </c:pt>
                <c:pt idx="4">
                  <c:v>2025</c:v>
                </c:pt>
              </c:numCache>
            </c:numRef>
          </c:cat>
          <c:val>
            <c:numRef>
              <c:f>Dashboard!$G$7:$G$11</c:f>
              <c:numCache>
                <c:formatCode>General</c:formatCode>
                <c:ptCount val="5"/>
                <c:pt idx="0">
                  <c:v>15116546</c:v>
                </c:pt>
                <c:pt idx="1">
                  <c:v>15723765</c:v>
                </c:pt>
                <c:pt idx="2">
                  <c:v>14547564</c:v>
                </c:pt>
                <c:pt idx="3">
                  <c:v>17805575</c:v>
                </c:pt>
                <c:pt idx="4">
                  <c:v>15291661</c:v>
                </c:pt>
              </c:numCache>
            </c:numRef>
          </c:val>
          <c:extLst>
            <c:ext xmlns:c16="http://schemas.microsoft.com/office/drawing/2014/chart" uri="{C3380CC4-5D6E-409C-BE32-E72D297353CC}">
              <c16:uniqueId val="{00000000-3DEE-4B41-9A98-50D8FBED4054}"/>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Category Share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Dashboard!$B$15</c:f>
              <c:strCache>
                <c:ptCount val="1"/>
                <c:pt idx="0">
                  <c:v>Amount</c:v>
                </c:pt>
              </c:strCache>
            </c:strRef>
          </c:tx>
          <c:dPt>
            <c:idx val="0"/>
            <c:bubble3D val="0"/>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1-3AE0-4CF3-8FEB-0EDBE70C3A7C}"/>
              </c:ext>
            </c:extLst>
          </c:dPt>
          <c:dPt>
            <c:idx val="1"/>
            <c:bubble3D val="0"/>
            <c:spPr>
              <a:gradFill rotWithShape="1">
                <a:gsLst>
                  <a:gs pos="0">
                    <a:schemeClr val="accent2">
                      <a:tint val="74000"/>
                    </a:schemeClr>
                  </a:gs>
                  <a:gs pos="49000">
                    <a:schemeClr val="accent2">
                      <a:tint val="96000"/>
                      <a:shade val="84000"/>
                      <a:satMod val="110000"/>
                    </a:schemeClr>
                  </a:gs>
                  <a:gs pos="49100">
                    <a:schemeClr val="accent2">
                      <a:shade val="55000"/>
                      <a:satMod val="150000"/>
                    </a:schemeClr>
                  </a:gs>
                  <a:gs pos="92000">
                    <a:schemeClr val="accent2">
                      <a:tint val="98000"/>
                      <a:shade val="90000"/>
                      <a:satMod val="128000"/>
                    </a:schemeClr>
                  </a:gs>
                  <a:gs pos="100000">
                    <a:schemeClr val="accent2">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3-3AE0-4CF3-8FEB-0EDBE70C3A7C}"/>
              </c:ext>
            </c:extLst>
          </c:dPt>
          <c:dPt>
            <c:idx val="2"/>
            <c:bubble3D val="0"/>
            <c:spPr>
              <a:gradFill rotWithShape="1">
                <a:gsLst>
                  <a:gs pos="0">
                    <a:schemeClr val="accent3">
                      <a:tint val="74000"/>
                    </a:schemeClr>
                  </a:gs>
                  <a:gs pos="49000">
                    <a:schemeClr val="accent3">
                      <a:tint val="96000"/>
                      <a:shade val="84000"/>
                      <a:satMod val="110000"/>
                    </a:schemeClr>
                  </a:gs>
                  <a:gs pos="49100">
                    <a:schemeClr val="accent3">
                      <a:shade val="55000"/>
                      <a:satMod val="150000"/>
                    </a:schemeClr>
                  </a:gs>
                  <a:gs pos="92000">
                    <a:schemeClr val="accent3">
                      <a:tint val="98000"/>
                      <a:shade val="90000"/>
                      <a:satMod val="128000"/>
                    </a:schemeClr>
                  </a:gs>
                  <a:gs pos="100000">
                    <a:schemeClr val="accent3">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5-3AE0-4CF3-8FEB-0EDBE70C3A7C}"/>
              </c:ext>
            </c:extLst>
          </c:dPt>
          <c:dPt>
            <c:idx val="3"/>
            <c:bubble3D val="0"/>
            <c:spPr>
              <a:gradFill rotWithShape="1">
                <a:gsLst>
                  <a:gs pos="0">
                    <a:schemeClr val="accent4">
                      <a:tint val="74000"/>
                    </a:schemeClr>
                  </a:gs>
                  <a:gs pos="49000">
                    <a:schemeClr val="accent4">
                      <a:tint val="96000"/>
                      <a:shade val="84000"/>
                      <a:satMod val="110000"/>
                    </a:schemeClr>
                  </a:gs>
                  <a:gs pos="49100">
                    <a:schemeClr val="accent4">
                      <a:shade val="55000"/>
                      <a:satMod val="150000"/>
                    </a:schemeClr>
                  </a:gs>
                  <a:gs pos="92000">
                    <a:schemeClr val="accent4">
                      <a:tint val="98000"/>
                      <a:shade val="90000"/>
                      <a:satMod val="128000"/>
                    </a:schemeClr>
                  </a:gs>
                  <a:gs pos="100000">
                    <a:schemeClr val="accent4">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extLst>
              <c:ext xmlns:c16="http://schemas.microsoft.com/office/drawing/2014/chart" uri="{C3380CC4-5D6E-409C-BE32-E72D297353CC}">
                <c16:uniqueId val="{00000007-3AE0-4CF3-8FEB-0EDBE70C3A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Dashboard!$A$16:$A$19</c:f>
              <c:strCache>
                <c:ptCount val="4"/>
                <c:pt idx="0">
                  <c:v>Expense</c:v>
                </c:pt>
                <c:pt idx="1">
                  <c:v>Investment</c:v>
                </c:pt>
                <c:pt idx="2">
                  <c:v>Loan</c:v>
                </c:pt>
                <c:pt idx="3">
                  <c:v>Revenue</c:v>
                </c:pt>
              </c:strCache>
            </c:strRef>
          </c:cat>
          <c:val>
            <c:numRef>
              <c:f>Dashboard!$B$16:$B$19</c:f>
              <c:numCache>
                <c:formatCode>General</c:formatCode>
                <c:ptCount val="4"/>
                <c:pt idx="0">
                  <c:v>39978264</c:v>
                </c:pt>
                <c:pt idx="1">
                  <c:v>41224458</c:v>
                </c:pt>
                <c:pt idx="2">
                  <c:v>10823645</c:v>
                </c:pt>
                <c:pt idx="3">
                  <c:v>78485111</c:v>
                </c:pt>
              </c:numCache>
            </c:numRef>
          </c:val>
          <c:extLst>
            <c:ext xmlns:c16="http://schemas.microsoft.com/office/drawing/2014/chart" uri="{C3380CC4-5D6E-409C-BE32-E72D297353CC}">
              <c16:uniqueId val="{00000000-592A-49AD-9EF5-EB4A5F2C714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Net Profit Trend (Yearly)</a:t>
            </a:r>
          </a:p>
        </c:rich>
      </c:tx>
      <c:layout>
        <c:manualLayout>
          <c:xMode val="edge"/>
          <c:yMode val="edge"/>
          <c:x val="0.31168617659056358"/>
          <c:y val="0.1223386481121992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Dashboard!$G$15</c:f>
              <c:strCache>
                <c:ptCount val="1"/>
                <c:pt idx="0">
                  <c:v>NetProfit</c:v>
                </c:pt>
              </c:strCache>
            </c:strRef>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cat>
            <c:numRef>
              <c:f>Dashboard!$F$16:$F$20</c:f>
              <c:numCache>
                <c:formatCode>General</c:formatCode>
                <c:ptCount val="5"/>
                <c:pt idx="0">
                  <c:v>2021</c:v>
                </c:pt>
                <c:pt idx="1">
                  <c:v>2022</c:v>
                </c:pt>
                <c:pt idx="2">
                  <c:v>2023</c:v>
                </c:pt>
                <c:pt idx="3">
                  <c:v>2024</c:v>
                </c:pt>
                <c:pt idx="4">
                  <c:v>2025</c:v>
                </c:pt>
              </c:numCache>
            </c:numRef>
          </c:cat>
          <c:val>
            <c:numRef>
              <c:f>Dashboard!$G$16:$G$20</c:f>
              <c:numCache>
                <c:formatCode>General</c:formatCode>
                <c:ptCount val="5"/>
                <c:pt idx="0">
                  <c:v>-4186264.88</c:v>
                </c:pt>
                <c:pt idx="1">
                  <c:v>-3904393.87</c:v>
                </c:pt>
                <c:pt idx="2">
                  <c:v>-3866189.12</c:v>
                </c:pt>
                <c:pt idx="3">
                  <c:v>-3324578.76</c:v>
                </c:pt>
                <c:pt idx="4">
                  <c:v>-4252312.51</c:v>
                </c:pt>
              </c:numCache>
            </c:numRef>
          </c:val>
          <c:extLst>
            <c:ext xmlns:c16="http://schemas.microsoft.com/office/drawing/2014/chart" uri="{C3380CC4-5D6E-409C-BE32-E72D297353CC}">
              <c16:uniqueId val="{00000000-76B0-4EFD-A7C9-D9203382AB04}"/>
            </c:ext>
          </c:extLst>
        </c:ser>
        <c:dLbls>
          <c:showLegendKey val="0"/>
          <c:showVal val="0"/>
          <c:showCatName val="0"/>
          <c:showSerName val="0"/>
          <c:showPercent val="0"/>
          <c:showBubbleSize val="0"/>
        </c:dLbls>
        <c:gapWidth val="150"/>
        <c:shape val="box"/>
        <c:axId val="10"/>
        <c:axId val="100"/>
        <c:axId val="0"/>
      </c:bar3DChart>
      <c:catAx>
        <c:axId val="1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circle"/>
          <c:size val="6"/>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w="9525">
              <a:solidFill>
                <a:schemeClr val="accent1"/>
              </a:solidFill>
              <a:round/>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gradFill rotWithShape="1">
              <a:gsLst>
                <a:gs pos="0">
                  <a:schemeClr val="accent1">
                    <a:tint val="74000"/>
                  </a:schemeClr>
                </a:gs>
                <a:gs pos="49000">
                  <a:schemeClr val="accent1">
                    <a:tint val="96000"/>
                    <a:shade val="84000"/>
                    <a:satMod val="110000"/>
                  </a:schemeClr>
                </a:gs>
                <a:gs pos="49100">
                  <a:schemeClr val="accent1">
                    <a:shade val="55000"/>
                    <a:satMod val="150000"/>
                  </a:schemeClr>
                </a:gs>
                <a:gs pos="92000">
                  <a:schemeClr val="accent1">
                    <a:tint val="98000"/>
                    <a:shade val="90000"/>
                    <a:satMod val="128000"/>
                  </a:schemeClr>
                </a:gs>
                <a:gs pos="100000">
                  <a:schemeClr val="accent1">
                    <a:tint val="90000"/>
                    <a:shade val="97000"/>
                    <a:satMod val="128000"/>
                  </a:schemeClr>
                </a:gs>
              </a:gsLst>
              <a:lin ang="5400000" scaled="1"/>
            </a:gradFill>
            <a:ln>
              <a:noFill/>
            </a:ln>
            <a:effectLst>
              <a:outerShdw blurRad="39000" dist="25400" dir="5400000" rotWithShape="0">
                <a:scrgbClr r="0" g="0" b="0">
                  <a:shade val="33000"/>
                  <a:alpha val="83000"/>
                </a:scrgbClr>
              </a:outerShdw>
            </a:effectLst>
            <a:scene3d>
              <a:camera prst="orthographicFront" fov="0">
                <a:rot lat="0" lon="0" rev="0"/>
              </a:camera>
              <a:lightRig rig="contrasting" dir="t">
                <a:rot lat="0" lon="0" rev="1500000"/>
              </a:lightRig>
            </a:scene3d>
            <a:sp3d extrusionH="127000" prstMaterial="powder">
              <a:bevelT w="50800" h="635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Expense</c:v>
              </c:pt>
              <c:pt idx="1">
                <c:v>Investment</c:v>
              </c:pt>
              <c:pt idx="2">
                <c:v>Loan</c:v>
              </c:pt>
              <c:pt idx="3">
                <c:v>Revenue</c:v>
              </c:pt>
            </c:strLit>
          </c:cat>
          <c:val>
            <c:numLit>
              <c:formatCode>General</c:formatCode>
              <c:ptCount val="4"/>
              <c:pt idx="0">
                <c:v>-33561283.329999998</c:v>
              </c:pt>
              <c:pt idx="1">
                <c:v>2409194.5499999998</c:v>
              </c:pt>
              <c:pt idx="2">
                <c:v>-153753.35</c:v>
              </c:pt>
              <c:pt idx="3">
                <c:v>11772102.99</c:v>
              </c:pt>
            </c:numLit>
          </c:val>
          <c:extLst>
            <c:ext xmlns:c16="http://schemas.microsoft.com/office/drawing/2014/chart" uri="{C3380CC4-5D6E-409C-BE32-E72D297353CC}">
              <c16:uniqueId val="{00000000-BCD8-4564-A11A-DD766E8927B7}"/>
            </c:ext>
          </c:extLst>
        </c:ser>
        <c:dLbls>
          <c:showLegendKey val="0"/>
          <c:showVal val="1"/>
          <c:showCatName val="0"/>
          <c:showSerName val="0"/>
          <c:showPercent val="0"/>
          <c:showBubbleSize val="0"/>
        </c:dLbls>
        <c:gapWidth val="150"/>
        <c:shape val="box"/>
        <c:axId val="1118908560"/>
        <c:axId val="1118909520"/>
        <c:axId val="0"/>
      </c:bar3DChart>
      <c:catAx>
        <c:axId val="1118908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909520"/>
        <c:crosses val="autoZero"/>
        <c:auto val="1"/>
        <c:lblAlgn val="ctr"/>
        <c:lblOffset val="100"/>
        <c:noMultiLvlLbl val="0"/>
      </c:catAx>
      <c:valAx>
        <c:axId val="111890952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8908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ustomXml" Target="../ink/ink2.xml"/><Relationship Id="rId13"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11" Type="http://schemas.openxmlformats.org/officeDocument/2006/relationships/customXml" Target="../ink/ink4.xml"/><Relationship Id="rId5" Type="http://schemas.openxmlformats.org/officeDocument/2006/relationships/customXml" Target="../ink/ink1.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customXml" Target="../ink/ink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431800</xdr:colOff>
      <xdr:row>4</xdr:row>
      <xdr:rowOff>82550</xdr:rowOff>
    </xdr:from>
    <xdr:ext cx="4171950" cy="25146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495300</xdr:colOff>
      <xdr:row>4</xdr:row>
      <xdr:rowOff>76200</xdr:rowOff>
    </xdr:from>
    <xdr:ext cx="3524250" cy="2425700"/>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171450</xdr:colOff>
      <xdr:row>16</xdr:row>
      <xdr:rowOff>12700</xdr:rowOff>
    </xdr:from>
    <xdr:ext cx="4000500" cy="241300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6</xdr:col>
      <xdr:colOff>476250</xdr:colOff>
      <xdr:row>16</xdr:row>
      <xdr:rowOff>152400</xdr:rowOff>
    </xdr:from>
    <xdr:ext cx="4044950" cy="229235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editAs="oneCell">
    <xdr:from>
      <xdr:col>13</xdr:col>
      <xdr:colOff>177800</xdr:colOff>
      <xdr:row>17</xdr:row>
      <xdr:rowOff>165101</xdr:rowOff>
    </xdr:from>
    <xdr:to>
      <xdr:col>16</xdr:col>
      <xdr:colOff>177800</xdr:colOff>
      <xdr:row>27</xdr:row>
      <xdr:rowOff>127000</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A77787B9-3A59-4837-9A6B-1DF8AB8CD86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102600" y="3346451"/>
              <a:ext cx="1828800" cy="1803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6120</xdr:colOff>
      <xdr:row>7</xdr:row>
      <xdr:rowOff>184030</xdr:rowOff>
    </xdr:from>
    <xdr:to>
      <xdr:col>16</xdr:col>
      <xdr:colOff>6480</xdr:colOff>
      <xdr:row>8</xdr:row>
      <xdr:rowOff>240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6" name="Ink 5">
              <a:extLst>
                <a:ext uri="{FF2B5EF4-FFF2-40B4-BE49-F238E27FC236}">
                  <a16:creationId xmlns:a16="http://schemas.microsoft.com/office/drawing/2014/main" id="{290A2A60-75B3-EC86-32E6-C140334C95F5}"/>
                </a:ext>
              </a:extLst>
            </xdr14:cNvPr>
            <xdr14:cNvContentPartPr/>
          </xdr14:nvContentPartPr>
          <xdr14:nvPr macro=""/>
          <xdr14:xfrm>
            <a:off x="9759720" y="1523880"/>
            <a:ext cx="360" cy="360"/>
          </xdr14:xfrm>
        </xdr:contentPart>
      </mc:Choice>
      <mc:Fallback xmlns="">
        <xdr:pic>
          <xdr:nvPicPr>
            <xdr:cNvPr id="6" name="Ink 5">
              <a:extLst>
                <a:ext uri="{FF2B5EF4-FFF2-40B4-BE49-F238E27FC236}">
                  <a16:creationId xmlns:a16="http://schemas.microsoft.com/office/drawing/2014/main" id="{290A2A60-75B3-EC86-32E6-C140334C95F5}"/>
                </a:ext>
              </a:extLst>
            </xdr:cNvPr>
            <xdr:cNvPicPr/>
          </xdr:nvPicPr>
          <xdr:blipFill>
            <a:blip xmlns:r="http://schemas.openxmlformats.org/officeDocument/2006/relationships" r:embed="rId7"/>
            <a:stretch>
              <a:fillRect/>
            </a:stretch>
          </xdr:blipFill>
          <xdr:spPr>
            <a:xfrm>
              <a:off x="9753600" y="1517760"/>
              <a:ext cx="12600" cy="12600"/>
            </a:xfrm>
            <a:prstGeom prst="rect">
              <a:avLst/>
            </a:prstGeom>
          </xdr:spPr>
        </xdr:pic>
      </mc:Fallback>
    </mc:AlternateContent>
    <xdr:clientData/>
  </xdr:twoCellAnchor>
  <xdr:twoCellAnchor editAs="oneCell">
    <xdr:from>
      <xdr:col>15</xdr:col>
      <xdr:colOff>18840</xdr:colOff>
      <xdr:row>6</xdr:row>
      <xdr:rowOff>82700</xdr:rowOff>
    </xdr:from>
    <xdr:to>
      <xdr:col>15</xdr:col>
      <xdr:colOff>19200</xdr:colOff>
      <xdr:row>6</xdr:row>
      <xdr:rowOff>83060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 name="Ink 7">
              <a:extLst>
                <a:ext uri="{FF2B5EF4-FFF2-40B4-BE49-F238E27FC236}">
                  <a16:creationId xmlns:a16="http://schemas.microsoft.com/office/drawing/2014/main" id="{95C00E3D-967E-4D8F-EA82-DF407C329910}"/>
                </a:ext>
              </a:extLst>
            </xdr14:cNvPr>
            <xdr14:cNvContentPartPr/>
          </xdr14:nvContentPartPr>
          <xdr14:nvPr macro=""/>
          <xdr14:xfrm>
            <a:off x="9162840" y="1238400"/>
            <a:ext cx="360" cy="360"/>
          </xdr14:xfrm>
        </xdr:contentPart>
      </mc:Choice>
      <mc:Fallback xmlns="">
        <xdr:pic>
          <xdr:nvPicPr>
            <xdr:cNvPr id="8" name="Ink 7">
              <a:extLst>
                <a:ext uri="{FF2B5EF4-FFF2-40B4-BE49-F238E27FC236}">
                  <a16:creationId xmlns:a16="http://schemas.microsoft.com/office/drawing/2014/main" id="{95C00E3D-967E-4D8F-EA82-DF407C329910}"/>
                </a:ext>
              </a:extLst>
            </xdr:cNvPr>
            <xdr:cNvPicPr/>
          </xdr:nvPicPr>
          <xdr:blipFill>
            <a:blip xmlns:r="http://schemas.openxmlformats.org/officeDocument/2006/relationships" r:embed="rId7"/>
            <a:stretch>
              <a:fillRect/>
            </a:stretch>
          </xdr:blipFill>
          <xdr:spPr>
            <a:xfrm>
              <a:off x="9156720" y="1232280"/>
              <a:ext cx="12600" cy="12600"/>
            </a:xfrm>
            <a:prstGeom prst="rect">
              <a:avLst/>
            </a:prstGeom>
          </xdr:spPr>
        </xdr:pic>
      </mc:Fallback>
    </mc:AlternateContent>
    <xdr:clientData/>
  </xdr:twoCellAnchor>
  <xdr:twoCellAnchor editAs="oneCell">
    <xdr:from>
      <xdr:col>13</xdr:col>
      <xdr:colOff>139680</xdr:colOff>
      <xdr:row>2</xdr:row>
      <xdr:rowOff>120580</xdr:rowOff>
    </xdr:from>
    <xdr:to>
      <xdr:col>13</xdr:col>
      <xdr:colOff>152280</xdr:colOff>
      <xdr:row>2</xdr:row>
      <xdr:rowOff>157660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0" name="Ink 9">
              <a:extLst>
                <a:ext uri="{FF2B5EF4-FFF2-40B4-BE49-F238E27FC236}">
                  <a16:creationId xmlns:a16="http://schemas.microsoft.com/office/drawing/2014/main" id="{02465BC7-81CC-6579-1572-AEB61466F16C}"/>
                </a:ext>
              </a:extLst>
            </xdr14:cNvPr>
            <xdr14:cNvContentPartPr/>
          </xdr14:nvContentPartPr>
          <xdr14:nvPr macro=""/>
          <xdr14:xfrm>
            <a:off x="8064480" y="488880"/>
            <a:ext cx="12600" cy="37080"/>
          </xdr14:xfrm>
        </xdr:contentPart>
      </mc:Choice>
      <mc:Fallback xmlns="">
        <xdr:pic>
          <xdr:nvPicPr>
            <xdr:cNvPr id="10" name="Ink 9">
              <a:extLst>
                <a:ext uri="{FF2B5EF4-FFF2-40B4-BE49-F238E27FC236}">
                  <a16:creationId xmlns:a16="http://schemas.microsoft.com/office/drawing/2014/main" id="{02465BC7-81CC-6579-1572-AEB61466F16C}"/>
                </a:ext>
              </a:extLst>
            </xdr:cNvPr>
            <xdr:cNvPicPr/>
          </xdr:nvPicPr>
          <xdr:blipFill>
            <a:blip xmlns:r="http://schemas.openxmlformats.org/officeDocument/2006/relationships" r:embed="rId10"/>
            <a:stretch>
              <a:fillRect/>
            </a:stretch>
          </xdr:blipFill>
          <xdr:spPr>
            <a:xfrm>
              <a:off x="8058360" y="482760"/>
              <a:ext cx="24840" cy="49320"/>
            </a:xfrm>
            <a:prstGeom prst="rect">
              <a:avLst/>
            </a:prstGeom>
          </xdr:spPr>
        </xdr:pic>
      </mc:Fallback>
    </mc:AlternateContent>
    <xdr:clientData/>
  </xdr:twoCellAnchor>
  <xdr:twoCellAnchor editAs="oneCell">
    <xdr:from>
      <xdr:col>14</xdr:col>
      <xdr:colOff>387240</xdr:colOff>
      <xdr:row>3</xdr:row>
      <xdr:rowOff>157830</xdr:rowOff>
    </xdr:from>
    <xdr:to>
      <xdr:col>15</xdr:col>
      <xdr:colOff>166080</xdr:colOff>
      <xdr:row>4</xdr:row>
      <xdr:rowOff>152920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Ink 10">
              <a:extLst>
                <a:ext uri="{FF2B5EF4-FFF2-40B4-BE49-F238E27FC236}">
                  <a16:creationId xmlns:a16="http://schemas.microsoft.com/office/drawing/2014/main" id="{2ABAE8BD-429C-0A65-E375-12198DE2A064}"/>
                </a:ext>
              </a:extLst>
            </xdr14:cNvPr>
            <xdr14:cNvContentPartPr/>
          </xdr14:nvContentPartPr>
          <xdr14:nvPr macro=""/>
          <xdr14:xfrm>
            <a:off x="8921640" y="710280"/>
            <a:ext cx="388440" cy="230040"/>
          </xdr14:xfrm>
        </xdr:contentPart>
      </mc:Choice>
      <mc:Fallback xmlns="">
        <xdr:pic>
          <xdr:nvPicPr>
            <xdr:cNvPr id="11" name="Ink 10">
              <a:extLst>
                <a:ext uri="{FF2B5EF4-FFF2-40B4-BE49-F238E27FC236}">
                  <a16:creationId xmlns:a16="http://schemas.microsoft.com/office/drawing/2014/main" id="{2ABAE8BD-429C-0A65-E375-12198DE2A064}"/>
                </a:ext>
              </a:extLst>
            </xdr:cNvPr>
            <xdr:cNvPicPr/>
          </xdr:nvPicPr>
          <xdr:blipFill>
            <a:blip xmlns:r="http://schemas.openxmlformats.org/officeDocument/2006/relationships" r:embed="rId12"/>
            <a:stretch>
              <a:fillRect/>
            </a:stretch>
          </xdr:blipFill>
          <xdr:spPr>
            <a:xfrm>
              <a:off x="8915520" y="704160"/>
              <a:ext cx="400680" cy="242280"/>
            </a:xfrm>
            <a:prstGeom prst="rect">
              <a:avLst/>
            </a:prstGeom>
          </xdr:spPr>
        </xdr:pic>
      </mc:Fallback>
    </mc:AlternateContent>
    <xdr:clientData/>
  </xdr:twoCellAnchor>
  <xdr:twoCellAnchor editAs="oneCell">
    <xdr:from>
      <xdr:col>7</xdr:col>
      <xdr:colOff>256115</xdr:colOff>
      <xdr:row>4</xdr:row>
      <xdr:rowOff>82550</xdr:rowOff>
    </xdr:from>
    <xdr:to>
      <xdr:col>13</xdr:col>
      <xdr:colOff>16932</xdr:colOff>
      <xdr:row>17</xdr:row>
      <xdr:rowOff>0</xdr:rowOff>
    </xdr:to>
    <xdr:pic>
      <xdr:nvPicPr>
        <xdr:cNvPr id="14" name="Picture 13">
          <a:extLst>
            <a:ext uri="{FF2B5EF4-FFF2-40B4-BE49-F238E27FC236}">
              <a16:creationId xmlns:a16="http://schemas.microsoft.com/office/drawing/2014/main" id="{0ED9636D-B410-263E-9E15-1D26A0C5EF9C}"/>
            </a:ext>
          </a:extLst>
        </xdr:cNvPr>
        <xdr:cNvPicPr>
          <a:picLocks noChangeAspect="1"/>
        </xdr:cNvPicPr>
      </xdr:nvPicPr>
      <xdr:blipFill>
        <a:blip xmlns:r="http://schemas.openxmlformats.org/officeDocument/2006/relationships" r:embed="rId13"/>
        <a:stretch>
          <a:fillRect/>
        </a:stretch>
      </xdr:blipFill>
      <xdr:spPr>
        <a:xfrm>
          <a:off x="4523315" y="869950"/>
          <a:ext cx="3418417" cy="2311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558800</xdr:colOff>
      <xdr:row>11</xdr:row>
      <xdr:rowOff>19050</xdr:rowOff>
    </xdr:from>
    <xdr:to>
      <xdr:col>11</xdr:col>
      <xdr:colOff>565055</xdr:colOff>
      <xdr:row>21</xdr:row>
      <xdr:rowOff>171450</xdr:rowOff>
    </xdr:to>
    <xdr:pic>
      <xdr:nvPicPr>
        <xdr:cNvPr id="3" name="Picture 2">
          <a:extLst>
            <a:ext uri="{FF2B5EF4-FFF2-40B4-BE49-F238E27FC236}">
              <a16:creationId xmlns:a16="http://schemas.microsoft.com/office/drawing/2014/main" id="{15270643-3BE0-0930-3141-023346B160FF}"/>
            </a:ext>
          </a:extLst>
        </xdr:cNvPr>
        <xdr:cNvPicPr>
          <a:picLocks noChangeAspect="1"/>
        </xdr:cNvPicPr>
      </xdr:nvPicPr>
      <xdr:blipFill>
        <a:blip xmlns:r="http://schemas.openxmlformats.org/officeDocument/2006/relationships" r:embed="rId1"/>
        <a:stretch>
          <a:fillRect/>
        </a:stretch>
      </xdr:blipFill>
      <xdr:spPr>
        <a:xfrm>
          <a:off x="5435600" y="2324100"/>
          <a:ext cx="1835055" cy="1993900"/>
        </a:xfrm>
        <a:prstGeom prst="rect">
          <a:avLst/>
        </a:prstGeom>
      </xdr:spPr>
    </xdr:pic>
    <xdr:clientData/>
  </xdr:twoCellAnchor>
  <xdr:twoCellAnchor>
    <xdr:from>
      <xdr:col>6</xdr:col>
      <xdr:colOff>127000</xdr:colOff>
      <xdr:row>0</xdr:row>
      <xdr:rowOff>114300</xdr:rowOff>
    </xdr:from>
    <xdr:to>
      <xdr:col>13</xdr:col>
      <xdr:colOff>431800</xdr:colOff>
      <xdr:row>15</xdr:row>
      <xdr:rowOff>95250</xdr:rowOff>
    </xdr:to>
    <xdr:graphicFrame macro="">
      <xdr:nvGraphicFramePr>
        <xdr:cNvPr id="8" name="Chart 7">
          <a:extLst>
            <a:ext uri="{FF2B5EF4-FFF2-40B4-BE49-F238E27FC236}">
              <a16:creationId xmlns:a16="http://schemas.microsoft.com/office/drawing/2014/main" id="{9BD5A5C6-8A73-4D85-B73B-02B4C21D9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05:54:33.047"/>
    </inkml:context>
    <inkml:brush xml:id="br0">
      <inkml:brushProperty name="width" value="0.035" units="cm"/>
      <inkml:brushProperty name="height" value="0.035" units="cm"/>
    </inkml:brush>
  </inkml:definitions>
  <inkml:trace contextRef="#ctx0" brushRef="#br0">1 0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05:54:34.856"/>
    </inkml:context>
    <inkml:brush xml:id="br0">
      <inkml:brushProperty name="width" value="0.035" units="cm"/>
      <inkml:brushProperty name="height" value="0.035" units="cm"/>
    </inkml:brush>
  </inkml:definitions>
  <inkml:trace contextRef="#ctx0" brushRef="#br0">1 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05:54:43.710"/>
    </inkml:context>
    <inkml:brush xml:id="br0">
      <inkml:brushProperty name="width" value="0.035" units="cm"/>
      <inkml:brushProperty name="height" value="0.035" units="cm"/>
    </inkml:brush>
  </inkml:definitions>
  <inkml:trace contextRef="#ctx0" brushRef="#br0">1 0 24575,'2'3'0,"2"4"0,0 4 0,2 3 0,0 2 0,-1 1 0,-1 1 0,-1-2-8191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4T05:54:45.205"/>
    </inkml:context>
    <inkml:brush xml:id="br0">
      <inkml:brushProperty name="width" value="0.035" units="cm"/>
      <inkml:brushProperty name="height" value="0.035" units="cm"/>
    </inkml:brush>
  </inkml:definitions>
  <inkml:trace contextRef="#ctx0" brushRef="#br0">1 638 24575,'147'-183'0,"-29"31"0,-75 101 0,73-76 0,-105 118 0,1 1 0,1 1 0,-1 0 0,1 0 0,1 1 0,-1 1 0,1 0 0,19-3 0,-10 3 0,-1 1 0,1 2 0,23-1 0,24-2 0,-21-2 0,54-17 0,-85 20 0,-1 1 0,1 0 0,-1 2 0,1 0 0,0 0 0,22 4 0,-38-3-50,-1 0-1,1 0 1,-1 0-1,0 1 0,1-1 1,-1 1-1,1-1 1,-1 1-1,0-1 1,1 1-1,-1 0 0,0 0 1,1 0-1,-1 0 1,0-1-1,0 2 1,0-1-1,0 0 0,0 0 1,0 0-1,0 0 1,0 1-1,-1-1 1,1 0-1,0 1 1,0 1-1,3 11-6775</inkml:trace>
</inkml:ink>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ZBOOK 15 G3" refreshedDate="45946.620398842591" backgroundQuery="1" createdVersion="8" refreshedVersion="8" minRefreshableVersion="3" recordCount="0" supportSubquery="1" supportAdvancedDrill="1" xr:uid="{B69C5463-4BA0-40C7-9416-B10E16E7F80A}">
  <cacheSource type="external" connectionId="1"/>
  <cacheFields count="2">
    <cacheField name="[Measures].[Sum of ProfitLoss]" caption="Sum of ProfitLoss" numFmtId="0" hierarchy="15" level="32767"/>
    <cacheField name="[FinanceData].[Category].[Category]" caption="Category" numFmtId="0" hierarchy="4" level="1">
      <sharedItems count="4">
        <s v="Expense"/>
        <s v="Investment"/>
        <s v="Loan"/>
        <s v="Revenue"/>
      </sharedItems>
    </cacheField>
  </cacheFields>
  <cacheHierarchies count="16">
    <cacheHierarchy uniqueName="[FinanceData].[TransactionID]" caption="TransactionID" attribute="1" defaultMemberUniqueName="[FinanceData].[TransactionID].[All]" allUniqueName="[FinanceData].[TransactionID].[All]" dimensionUniqueName="[FinanceData]" displayFolder="" count="0" memberValueDatatype="130" unbalanced="0"/>
    <cacheHierarchy uniqueName="[FinanceData].[Date]" caption="Date" attribute="1" defaultMemberUniqueName="[FinanceData].[Date].[All]" allUniqueName="[FinanceData].[Date].[All]" dimensionUniqueName="[FinanceData]" displayFolder="" count="0" memberValueDatatype="130" unbalanced="0"/>
    <cacheHierarchy uniqueName="[FinanceData].[Region]" caption="Region" attribute="1" defaultMemberUniqueName="[FinanceData].[Region].[All]" allUniqueName="[FinanceData].[Region].[All]" dimensionUniqueName="[FinanceData]" displayFolder="" count="0" memberValueDatatype="130" unbalanced="0"/>
    <cacheHierarchy uniqueName="[FinanceData].[Branch]" caption="Branch" attribute="1" defaultMemberUniqueName="[FinanceData].[Branch].[All]" allUniqueName="[FinanceData].[Branch].[All]" dimensionUniqueName="[FinanceData]" displayFolder="" count="0" memberValueDatatype="130" unbalanced="0"/>
    <cacheHierarchy uniqueName="[FinanceData].[Category]" caption="Category" attribute="1" defaultMemberUniqueName="[FinanceData].[Category].[All]" allUniqueName="[FinanceData].[Category].[All]" dimensionUniqueName="[FinanceData]" displayFolder="" count="2" memberValueDatatype="130" unbalanced="0">
      <fieldsUsage count="2">
        <fieldUsage x="-1"/>
        <fieldUsage x="1"/>
      </fieldsUsage>
    </cacheHierarchy>
    <cacheHierarchy uniqueName="[FinanceData].[SubCategory]" caption="SubCategory" attribute="1" defaultMemberUniqueName="[FinanceData].[SubCategory].[All]" allUniqueName="[FinanceData].[SubCategory].[All]" dimensionUniqueName="[FinanceData]" displayFolder="" count="0" memberValueDatatype="130" unbalanced="0"/>
    <cacheHierarchy uniqueName="[FinanceData].[PaymentMode]" caption="PaymentMode" attribute="1" defaultMemberUniqueName="[FinanceData].[PaymentMode].[All]" allUniqueName="[FinanceData].[PaymentMode].[All]" dimensionUniqueName="[FinanceData]" displayFolder="" count="0" memberValueDatatype="130" unbalanced="0"/>
    <cacheHierarchy uniqueName="[FinanceData].[Amount]" caption="Amount" attribute="1" defaultMemberUniqueName="[FinanceData].[Amount].[All]" allUniqueName="[FinanceData].[Amount].[All]" dimensionUniqueName="[FinanceData]" displayFolder="" count="0" memberValueDatatype="20" unbalanced="0"/>
    <cacheHierarchy uniqueName="[FinanceData].[ProfitLoss]" caption="ProfitLoss" attribute="1" defaultMemberUniqueName="[FinanceData].[ProfitLoss].[All]" allUniqueName="[FinanceData].[ProfitLoss].[All]" dimensionUniqueName="[FinanceData]" displayFolder="" count="0" memberValueDatatype="5" unbalanced="0"/>
    <cacheHierarchy uniqueName="[FinanceData].[AccountManager]" caption="AccountManager" attribute="1" defaultMemberUniqueName="[FinanceData].[AccountManager].[All]" allUniqueName="[FinanceData].[AccountManager].[All]" dimensionUniqueName="[FinanceData]" displayFolder="" count="0" memberValueDatatype="130" unbalanced="0"/>
    <cacheHierarchy uniqueName="[FinanceData].[Quarter]" caption="Quarter" attribute="1" defaultMemberUniqueName="[FinanceData].[Quarter].[All]" allUniqueName="[FinanceData].[Quarter].[All]" dimensionUniqueName="[FinanceData]" displayFolder="" count="0" memberValueDatatype="130" unbalanced="0"/>
    <cacheHierarchy uniqueName="[FinanceData].[Year]" caption="Year" attribute="1" defaultMemberUniqueName="[FinanceData].[Year].[All]" allUniqueName="[FinanceData].[Year].[All]" dimensionUniqueName="[FinanceData]" displayFolder="" count="0" memberValueDatatype="20" unbalanced="0"/>
    <cacheHierarchy uniqueName="[FinanceData].[CustomerID]" caption="CustomerID" attribute="1" defaultMemberUniqueName="[FinanceData].[CustomerID].[All]" allUniqueName="[FinanceData].[CustomerID].[All]" dimensionUniqueName="[FinanceData]" displayFolder="" count="0"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Sum of ProfitLoss]" caption="Sum of ProfitLoss" measure="1" displayFolder="" measureGroup="FinanceData"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ZBOOK 15 G3" refreshedDate="45944.396023263886" createdVersion="8" refreshedVersion="8" minRefreshableVersion="3" recordCount="1000" xr:uid="{47AE127B-8671-4FBA-916A-CB59A2A8FBCB}">
  <cacheSource type="worksheet">
    <worksheetSource name="FinanceData"/>
  </cacheSource>
  <cacheFields count="13">
    <cacheField name="TransactionID" numFmtId="0">
      <sharedItems/>
    </cacheField>
    <cacheField name="Date" numFmtId="0">
      <sharedItems/>
    </cacheField>
    <cacheField name="Region" numFmtId="0">
      <sharedItems/>
    </cacheField>
    <cacheField name="Branch" numFmtId="0">
      <sharedItems/>
    </cacheField>
    <cacheField name="Category" numFmtId="0">
      <sharedItems count="4">
        <s v="Expense"/>
        <s v="Investment"/>
        <s v="Revenue"/>
        <s v="Loan"/>
      </sharedItems>
    </cacheField>
    <cacheField name="SubCategory" numFmtId="0">
      <sharedItems/>
    </cacheField>
    <cacheField name="PaymentMode" numFmtId="0">
      <sharedItems/>
    </cacheField>
    <cacheField name="Amount" numFmtId="0">
      <sharedItems containsSemiMixedTypes="0" containsString="0" containsNumber="1" containsInteger="1" minValue="5747" maxValue="998756"/>
    </cacheField>
    <cacheField name="ProfitLoss" numFmtId="0">
      <sharedItems containsSemiMixedTypes="0" containsString="0" containsNumber="1" minValue="-196158.19" maxValue="126486.73" count="1000">
        <n v="-140395.73000000001"/>
        <n v="-204.59"/>
        <n v="43434.54"/>
        <n v="-43561.33"/>
        <n v="-83120.789999999994"/>
        <n v="-86156.23"/>
        <n v="18138.189999999999"/>
        <n v="4578.45"/>
        <n v="10665.41"/>
        <n v="-10942.11"/>
        <n v="5477.52"/>
        <n v="-108283.11"/>
        <n v="-19901.240000000002"/>
        <n v="-71713.23"/>
        <n v="15726.67"/>
        <n v="-126038.92"/>
        <n v="16589.7"/>
        <n v="-91103.6"/>
        <n v="8559.2099999999991"/>
        <n v="-30718.02"/>
        <n v="12520.86"/>
        <n v="49831.87"/>
        <n v="-114805.12"/>
        <n v="6928.95"/>
        <n v="8861.57"/>
        <n v="-98681.4"/>
        <n v="-79834.5"/>
        <n v="14008.98"/>
        <n v="32471.29"/>
        <n v="31293.4"/>
        <n v="47496.43"/>
        <n v="-10901.67"/>
        <n v="-148063.20000000001"/>
        <n v="28257.31"/>
        <n v="23432.74"/>
        <n v="-34900.300000000003"/>
        <n v="-96803"/>
        <n v="16912.09"/>
        <n v="28553.91"/>
        <n v="-92701.28"/>
        <n v="-42617.06"/>
        <n v="30780.89"/>
        <n v="48564.12"/>
        <n v="-88713.34"/>
        <n v="-104560.37"/>
        <n v="15654.49"/>
        <n v="-153480.1"/>
        <n v="43209.16"/>
        <n v="8662.11"/>
        <n v="-22724.06"/>
        <n v="-13675.74"/>
        <n v="4817.47"/>
        <n v="102975.02"/>
        <n v="6556.79"/>
        <n v="-1202.9000000000001"/>
        <n v="-59287.839999999997"/>
        <n v="3565.8"/>
        <n v="48175.1"/>
        <n v="46021.48"/>
        <n v="-85450.85"/>
        <n v="-156202.13"/>
        <n v="-155461.81"/>
        <n v="-55194.14"/>
        <n v="3447.6"/>
        <n v="65313.89"/>
        <n v="21956.74"/>
        <n v="-147932.07999999999"/>
        <n v="17202.78"/>
        <n v="-123329.4"/>
        <n v="31379.35"/>
        <n v="-117144.82"/>
        <n v="31402.3"/>
        <n v="10370.84"/>
        <n v="-116169.45"/>
        <n v="62923.8"/>
        <n v="-152688.9"/>
        <n v="48650.42"/>
        <n v="-8873.84"/>
        <n v="50339.9"/>
        <n v="2553.42"/>
        <n v="-124238.17"/>
        <n v="-36814.42"/>
        <n v="25179.97"/>
        <n v="-17505.07"/>
        <n v="37303.760000000002"/>
        <n v="35244.68"/>
        <n v="4680.3900000000003"/>
        <n v="126486.73"/>
        <n v="33960.83"/>
        <n v="15257.3"/>
        <n v="30227.4"/>
        <n v="36341.279999999999"/>
        <n v="-7043.08"/>
        <n v="-146361.69"/>
        <n v="14228.95"/>
        <n v="44836.55"/>
        <n v="2544.88"/>
        <n v="2258.5700000000002"/>
        <n v="11242.46"/>
        <n v="37875.160000000003"/>
        <n v="15180.09"/>
        <n v="-21509.57"/>
        <n v="-170758.54"/>
        <n v="-73865.62"/>
        <n v="5522.18"/>
        <n v="-104430.6"/>
        <n v="37726.92"/>
        <n v="-144340.64000000001"/>
        <n v="-55198.28"/>
        <n v="-117672.22"/>
        <n v="-112033.44"/>
        <n v="-114605.9"/>
        <n v="-173861.2"/>
        <n v="14270.3"/>
        <n v="-196158.19"/>
        <n v="3215.11"/>
        <n v="-5226.97"/>
        <n v="-88829.4"/>
        <n v="14102.8"/>
        <n v="22332.98"/>
        <n v="10143.89"/>
        <n v="-125228.01"/>
        <n v="21596.82"/>
        <n v="-11872.74"/>
        <n v="38619.74"/>
        <n v="7136.78"/>
        <n v="7902.93"/>
        <n v="-64661.36"/>
        <n v="-106443.65"/>
        <n v="16949.97"/>
        <n v="-118387.46"/>
        <n v="11889.73"/>
        <n v="18694.25"/>
        <n v="34663.06"/>
        <n v="-11852.31"/>
        <n v="-40877.769999999997"/>
        <n v="-47177.47"/>
        <n v="-43471.92"/>
        <n v="-58882.02"/>
        <n v="-129292.58"/>
        <n v="-148819.03"/>
        <n v="-74733.179999999993"/>
        <n v="-153331.94"/>
        <n v="-67411.12"/>
        <n v="-118915.93"/>
        <n v="-63528.71"/>
        <n v="36671.449999999997"/>
        <n v="14878.01"/>
        <n v="-15740.91"/>
        <n v="14405.56"/>
        <n v="-34195.879999999997"/>
        <n v="87745.27"/>
        <n v="-5834.29"/>
        <n v="8745.5400000000009"/>
        <n v="13586.79"/>
        <n v="69107.039999999994"/>
        <n v="11182.83"/>
        <n v="-167582.26999999999"/>
        <n v="-79232.73"/>
        <n v="19206.560000000001"/>
        <n v="-79898.13"/>
        <n v="8846.58"/>
        <n v="13453.31"/>
        <n v="8703.4"/>
        <n v="-24410.6"/>
        <n v="-45497.09"/>
        <n v="-85708.21"/>
        <n v="-126504.31"/>
        <n v="45232.89"/>
        <n v="-21643.03"/>
        <n v="-141362.76999999999"/>
        <n v="-84222.16"/>
        <n v="79010.02"/>
        <n v="-153463.92000000001"/>
        <n v="-166188.21"/>
        <n v="16341.79"/>
        <n v="17635.86"/>
        <n v="10884.44"/>
        <n v="34759.42"/>
        <n v="47781.06"/>
        <n v="-91874.43"/>
        <n v="21401.25"/>
        <n v="10236.75"/>
        <n v="12824.42"/>
        <n v="25303.83"/>
        <n v="-42755.46"/>
        <n v="-43379.360000000001"/>
        <n v="33544.269999999997"/>
        <n v="-97552.27"/>
        <n v="-169395.5"/>
        <n v="17326.41"/>
        <n v="-138271.07999999999"/>
        <n v="62070.95"/>
        <n v="13872.64"/>
        <n v="1730.72"/>
        <n v="53169.95"/>
        <n v="7102.34"/>
        <n v="-110006.07"/>
        <n v="4303.21"/>
        <n v="-76376.72"/>
        <n v="36700.04"/>
        <n v="-18178.09"/>
        <n v="-75835.460000000006"/>
        <n v="-55490.55"/>
        <n v="21642.55"/>
        <n v="23293.77"/>
        <n v="33721.379999999997"/>
        <n v="-66299.48"/>
        <n v="10610.3"/>
        <n v="-8360.4699999999993"/>
        <n v="26106.69"/>
        <n v="42979.040000000001"/>
        <n v="2460.84"/>
        <n v="-21337.96"/>
        <n v="13006.47"/>
        <n v="-135649.92000000001"/>
        <n v="-54688.11"/>
        <n v="13287.64"/>
        <n v="29941.23"/>
        <n v="19498.47"/>
        <n v="-63655.46"/>
        <n v="118736.54"/>
        <n v="-17761.46"/>
        <n v="10510.64"/>
        <n v="-86081.07"/>
        <n v="-86229.55"/>
        <n v="-113064.61"/>
        <n v="13905.16"/>
        <n v="51138.63"/>
        <n v="2820.69"/>
        <n v="-66144.5"/>
        <n v="55642.71"/>
        <n v="6250.42"/>
        <n v="-67830.460000000006"/>
        <n v="-42627.83"/>
        <n v="13708.21"/>
        <n v="22203.119999999999"/>
        <n v="14683"/>
        <n v="-33914.04"/>
        <n v="-87772.67"/>
        <n v="7403.5"/>
        <n v="29111.4"/>
        <n v="30058.47"/>
        <n v="-73144.84"/>
        <n v="20913.04"/>
        <n v="41869.300000000003"/>
        <n v="22521.22"/>
        <n v="-4003.72"/>
        <n v="7560.59"/>
        <n v="45887.57"/>
        <n v="-84636.57"/>
        <n v="-122732.41"/>
        <n v="10694.98"/>
        <n v="16359.08"/>
        <n v="39625.480000000003"/>
        <n v="5255.36"/>
        <n v="-35908.81"/>
        <n v="-5842.5"/>
        <n v="9108.76"/>
        <n v="-76417.990000000005"/>
        <n v="20074.95"/>
        <n v="35005.980000000003"/>
        <n v="8726.83"/>
        <n v="47638.68"/>
        <n v="3623.63"/>
        <n v="-98549.99"/>
        <n v="2131.52"/>
        <n v="-13784.96"/>
        <n v="60777.98"/>
        <n v="10513.44"/>
        <n v="-81900.710000000006"/>
        <n v="-115275.59"/>
        <n v="-117753.15"/>
        <n v="-26477.89"/>
        <n v="9652.89"/>
        <n v="38679.94"/>
        <n v="-89972.9"/>
        <n v="-77676.320000000007"/>
        <n v="-100404.43"/>
        <n v="-12992.21"/>
        <n v="66532.59"/>
        <n v="4641.87"/>
        <n v="-178797.98"/>
        <n v="-84604.51"/>
        <n v="34462.04"/>
        <n v="3288.83"/>
        <n v="-70048.509999999995"/>
        <n v="14014.05"/>
        <n v="-22798.74"/>
        <n v="-121769.84"/>
        <n v="52817.41"/>
        <n v="12722.94"/>
        <n v="8860.65"/>
        <n v="59446.91"/>
        <n v="-122889.28"/>
        <n v="-5847.72"/>
        <n v="56845.120000000003"/>
        <n v="-23815.360000000001"/>
        <n v="-144430.96"/>
        <n v="-11755.6"/>
        <n v="-58566.42"/>
        <n v="1290.3900000000001"/>
        <n v="53551.26"/>
        <n v="27892.720000000001"/>
        <n v="-147274.75"/>
        <n v="11976.71"/>
        <n v="3944.58"/>
        <n v="64547.44"/>
        <n v="26292.12"/>
        <n v="14839.7"/>
        <n v="-18715.52"/>
        <n v="50156.94"/>
        <n v="-96420.82"/>
        <n v="-39720.25"/>
        <n v="6808.63"/>
        <n v="-22273.51"/>
        <n v="24307.01"/>
        <n v="9178.2199999999993"/>
        <n v="-169778.96"/>
        <n v="-142274.18"/>
        <n v="32288.79"/>
        <n v="36160.92"/>
        <n v="-170180.91"/>
        <n v="4665.66"/>
        <n v="43283.57"/>
        <n v="4580.2"/>
        <n v="12733.02"/>
        <n v="32468.94"/>
        <n v="11343.26"/>
        <n v="24256.69"/>
        <n v="29372.58"/>
        <n v="33469.5"/>
        <n v="10289.700000000001"/>
        <n v="-86102.23"/>
        <n v="36188.17"/>
        <n v="6534.1"/>
        <n v="52352.08"/>
        <n v="-68938.100000000006"/>
        <n v="-64668.12"/>
        <n v="22168.71"/>
        <n v="-130598.18"/>
        <n v="24737.23"/>
        <n v="47549.89"/>
        <n v="21493.9"/>
        <n v="-14282.78"/>
        <n v="-50078.63"/>
        <n v="43940.39"/>
        <n v="-151653.79999999999"/>
        <n v="4513.6899999999996"/>
        <n v="8500.4"/>
        <n v="-66936.61"/>
        <n v="22852.05"/>
        <n v="21696.46"/>
        <n v="-16542.04"/>
        <n v="5610.07"/>
        <n v="4625.59"/>
        <n v="-98922.96"/>
        <n v="-10016.86"/>
        <n v="7511.72"/>
        <n v="-67176.490000000005"/>
        <n v="25842.36"/>
        <n v="21658.52"/>
        <n v="-111945.38"/>
        <n v="18949.68"/>
        <n v="-51578.95"/>
        <n v="-176924.56"/>
        <n v="-133832.59"/>
        <n v="8042.97"/>
        <n v="46144.29"/>
        <n v="67391.37"/>
        <n v="-157245.47"/>
        <n v="-130131.66"/>
        <n v="-104001.76"/>
        <n v="8497.8700000000008"/>
        <n v="56804.86"/>
        <n v="-26029.43"/>
        <n v="-67199.240000000005"/>
        <n v="13097.27"/>
        <n v="21824.17"/>
        <n v="25697.45"/>
        <n v="19604.71"/>
        <n v="48635.79"/>
        <n v="16294.92"/>
        <n v="-77695.69"/>
        <n v="-147725.01999999999"/>
        <n v="28029.07"/>
        <n v="5343.23"/>
        <n v="7764.6"/>
        <n v="62631.5"/>
        <n v="7073.48"/>
        <n v="9357.86"/>
        <n v="7591.75"/>
        <n v="-124610.96"/>
        <n v="15973.19"/>
        <n v="42367.88"/>
        <n v="45658.75"/>
        <n v="13845.42"/>
        <n v="24879.09"/>
        <n v="-102697.29"/>
        <n v="42168.35"/>
        <n v="-1041.8699999999999"/>
        <n v="-4987.18"/>
        <n v="-86392.18"/>
        <n v="51574.559999999998"/>
        <n v="-122724.6"/>
        <n v="39094.19"/>
        <n v="-104912.21"/>
        <n v="-49852.81"/>
        <n v="16185.03"/>
        <n v="4285.09"/>
        <n v="-30005.01"/>
        <n v="-45502.3"/>
        <n v="15426.8"/>
        <n v="-109197.79"/>
        <n v="-25452.65"/>
        <n v="-45780.5"/>
        <n v="-167958.76"/>
        <n v="60137.56"/>
        <n v="-140024.79"/>
        <n v="31338.26"/>
        <n v="23809.82"/>
        <n v="23713.25"/>
        <n v="41715.57"/>
        <n v="45468.06"/>
        <n v="-56359.11"/>
        <n v="-105695.72"/>
        <n v="37040.6"/>
        <n v="33108.620000000003"/>
        <n v="62388.94"/>
        <n v="-64576.33"/>
        <n v="-47609.440000000002"/>
        <n v="-114007.67"/>
        <n v="-26016.55"/>
        <n v="2991.69"/>
        <n v="69407.66"/>
        <n v="-20633.04"/>
        <n v="-9122.86"/>
        <n v="9848.9599999999991"/>
        <n v="12561.23"/>
        <n v="-63178.06"/>
        <n v="-9217.07"/>
        <n v="-25402.74"/>
        <n v="35055.33"/>
        <n v="-64643.64"/>
        <n v="28065.73"/>
        <n v="93983.98"/>
        <n v="33997.269999999997"/>
        <n v="4162.49"/>
        <n v="-34575.300000000003"/>
        <n v="5039.05"/>
        <n v="40408.75"/>
        <n v="26161.73"/>
        <n v="-68566.23"/>
        <n v="54136.99"/>
        <n v="11266.02"/>
        <n v="337.52"/>
        <n v="-35124.089999999997"/>
        <n v="24937.06"/>
        <n v="-144608.25"/>
        <n v="-178159.25"/>
        <n v="-43309.46"/>
        <n v="60782.41"/>
        <n v="20387.86"/>
        <n v="4021.18"/>
        <n v="-35260.07"/>
        <n v="43599.3"/>
        <n v="42832.71"/>
        <n v="19703.080000000002"/>
        <n v="-37913.360000000001"/>
        <n v="23095.65"/>
        <n v="-13905.2"/>
        <n v="22569.78"/>
        <n v="15801.39"/>
        <n v="-89918.07"/>
        <n v="-68382.7"/>
        <n v="-99395.67"/>
        <n v="63055.12"/>
        <n v="-123345.96"/>
        <n v="33426.99"/>
        <n v="8119.97"/>
        <n v="17525.86"/>
        <n v="-63097.88"/>
        <n v="-144525.44"/>
        <n v="10355.049999999999"/>
        <n v="14927.13"/>
        <n v="-35622.68"/>
        <n v="-81792.479999999996"/>
        <n v="7303"/>
        <n v="-56203.58"/>
        <n v="-37598.839999999997"/>
        <n v="71613.62"/>
        <n v="18599.98"/>
        <n v="-127233.94"/>
        <n v="-93751.81"/>
        <n v="-22443.96"/>
        <n v="8810.7900000000009"/>
        <n v="7469.78"/>
        <n v="-131645.79"/>
        <n v="7775.26"/>
        <n v="29030.2"/>
        <n v="36095.4"/>
        <n v="-21382.57"/>
        <n v="-65210.52"/>
        <n v="17198"/>
        <n v="-149132.9"/>
        <n v="63976.65"/>
        <n v="5492.48"/>
        <n v="38006.21"/>
        <n v="18170.86"/>
        <n v="-10390.549999999999"/>
        <n v="-123397.6"/>
        <n v="-172938.4"/>
        <n v="-48553.120000000003"/>
        <n v="19443.07"/>
        <n v="2725.21"/>
        <n v="-67636.83"/>
        <n v="30694.26"/>
        <n v="9948.23"/>
        <n v="11335.02"/>
        <n v="32491.58"/>
        <n v="3576.6"/>
        <n v="-53278.01"/>
        <n v="24567.55"/>
        <n v="-82373.08"/>
        <n v="-92405.9"/>
        <n v="20622.259999999998"/>
        <n v="-49453.440000000002"/>
        <n v="20837.82"/>
        <n v="-129190.44"/>
        <n v="32561.56"/>
        <n v="25521.84"/>
        <n v="-18735.77"/>
        <n v="19284.669999999998"/>
        <n v="11887.3"/>
        <n v="-21022.85"/>
        <n v="30731.37"/>
        <n v="-96382.67"/>
        <n v="36482.6"/>
        <n v="84196.14"/>
        <n v="-29966.9"/>
        <n v="21139.33"/>
        <n v="42309.83"/>
        <n v="-176749.52"/>
        <n v="-3111.02"/>
        <n v="9899.5"/>
        <n v="4279.47"/>
        <n v="-75871.850000000006"/>
        <n v="-25429.38"/>
        <n v="-125414.44"/>
        <n v="25796.79"/>
        <n v="21613.23"/>
        <n v="35334.22"/>
        <n v="-95125.93"/>
        <n v="58880.05"/>
        <n v="33030.42"/>
        <n v="4907.68"/>
        <n v="29898.94"/>
        <n v="-11286.97"/>
        <n v="53956.23"/>
        <n v="19468.169999999998"/>
        <n v="32058.92"/>
        <n v="4836.91"/>
        <n v="40672.68"/>
        <n v="5938.61"/>
        <n v="12686.97"/>
        <n v="-98180.58"/>
        <n v="10205.19"/>
        <n v="-70921.279999999999"/>
        <n v="-54872.77"/>
        <n v="2217.5500000000002"/>
        <n v="-7982.99"/>
        <n v="24368.99"/>
        <n v="31575.24"/>
        <n v="5381.27"/>
        <n v="-25857.200000000001"/>
        <n v="17874.45"/>
        <n v="17876.509999999998"/>
        <n v="8566.06"/>
        <n v="-160183.57"/>
        <n v="106095.85"/>
        <n v="-58831.41"/>
        <n v="-25284.51"/>
        <n v="23407.32"/>
        <n v="-146136.72"/>
        <n v="27608.34"/>
        <n v="25374.79"/>
        <n v="33249.440000000002"/>
        <n v="-132740.18"/>
        <n v="-159932.4"/>
        <n v="35953.1"/>
        <n v="-94641.83"/>
        <n v="-129712.17"/>
        <n v="-152978.66"/>
        <n v="23485.64"/>
        <n v="-18128.7"/>
        <n v="5876.3"/>
        <n v="18146.91"/>
        <n v="14184.58"/>
        <n v="-54366.21"/>
        <n v="27415.87"/>
        <n v="33296.78"/>
        <n v="6050.14"/>
        <n v="-65744.62"/>
        <n v="-5549.86"/>
        <n v="-26325.73"/>
        <n v="17805.34"/>
        <n v="42804.76"/>
        <n v="3873.77"/>
        <n v="-46944.3"/>
        <n v="70613.460000000006"/>
        <n v="30831.33"/>
        <n v="30893.53"/>
        <n v="-150980.39000000001"/>
        <n v="-191088.66"/>
        <n v="54928.75"/>
        <n v="57959.98"/>
        <n v="-28936.25"/>
        <n v="23586.87"/>
        <n v="32576.97"/>
        <n v="-51909.25"/>
        <n v="22110.58"/>
        <n v="28897.25"/>
        <n v="-5893.98"/>
        <n v="-182203.5"/>
        <n v="8379.4500000000007"/>
        <n v="-8602.67"/>
        <n v="-120884.79"/>
        <n v="-105188.29"/>
        <n v="34116.54"/>
        <n v="12854.46"/>
        <n v="-49829.58"/>
        <n v="-141411.82"/>
        <n v="38556.04"/>
        <n v="-54377.18"/>
        <n v="-104168.32000000001"/>
        <n v="11201.25"/>
        <n v="17067.060000000001"/>
        <n v="61803.05"/>
        <n v="-70793.5"/>
        <n v="-56276.959999999999"/>
        <n v="-110578.98"/>
        <n v="-101351.52"/>
        <n v="21395.87"/>
        <n v="-113872.82"/>
        <n v="13019.02"/>
        <n v="69123.87"/>
        <n v="-109494.22"/>
        <n v="-96866.16"/>
        <n v="14102.38"/>
        <n v="2880.38"/>
        <n v="16999.25"/>
        <n v="13629.6"/>
        <n v="-50075.56"/>
        <n v="19260.57"/>
        <n v="11431.65"/>
        <n v="40119.339999999997"/>
        <n v="17098.73"/>
        <n v="9247.11"/>
        <n v="15753.6"/>
        <n v="-134546.26999999999"/>
        <n v="-69886.23"/>
        <n v="27649.919999999998"/>
        <n v="19564.98"/>
        <n v="-100980.69"/>
        <n v="31960.01"/>
        <n v="-117547.58"/>
        <n v="-83225.91"/>
        <n v="-70175.62"/>
        <n v="-94323.65"/>
        <n v="13622.39"/>
        <n v="-79201.06"/>
        <n v="-115249.91"/>
        <n v="-143989.07999999999"/>
        <n v="-180488.61"/>
        <n v="-67663.48"/>
        <n v="68419.87"/>
        <n v="36253.160000000003"/>
        <n v="5928.91"/>
        <n v="15919.05"/>
        <n v="30497.27"/>
        <n v="-70488.570000000007"/>
        <n v="19326.189999999999"/>
        <n v="38929.89"/>
        <n v="22428.99"/>
        <n v="-50535.5"/>
        <n v="59864.53"/>
        <n v="31617.96"/>
        <n v="10895.03"/>
        <n v="22786.27"/>
        <n v="-68187.199999999997"/>
        <n v="28290.2"/>
        <n v="15489.96"/>
        <n v="11807.72"/>
        <n v="17501.650000000001"/>
        <n v="40354.01"/>
        <n v="-46347.18"/>
        <n v="28820.560000000001"/>
        <n v="-57556.94"/>
        <n v="12939.05"/>
        <n v="5923.12"/>
        <n v="27350.73"/>
        <n v="-130622.73"/>
        <n v="15586.56"/>
        <n v="-91595.79"/>
        <n v="61591.57"/>
        <n v="-62859.45"/>
        <n v="-184021.51"/>
        <n v="11024.74"/>
        <n v="-58413.23"/>
        <n v="-127724.34"/>
        <n v="10602.37"/>
        <n v="-102234.51"/>
        <n v="33610.879999999997"/>
        <n v="-172878.02"/>
        <n v="-167685.70000000001"/>
        <n v="117645.56"/>
        <n v="22870.03"/>
        <n v="-86990.55"/>
        <n v="3812.71"/>
        <n v="14000.24"/>
        <n v="-43496.03"/>
        <n v="-76676.89"/>
        <n v="-124639.59"/>
        <n v="-51916.4"/>
        <n v="-87939.92"/>
        <n v="14127.23"/>
        <n v="42637.01"/>
        <n v="34350.51"/>
        <n v="-75119.87"/>
        <n v="59856.6"/>
        <n v="46682.77"/>
        <n v="10891.07"/>
        <n v="12134.76"/>
        <n v="28179.17"/>
        <n v="-3108.64"/>
        <n v="-72701.320000000007"/>
        <n v="-147163.26"/>
        <n v="32296.79"/>
        <n v="-2348.67"/>
        <n v="26869.48"/>
        <n v="-130310.28"/>
        <n v="31744.35"/>
        <n v="-64744.86"/>
        <n v="9664.5499999999993"/>
        <n v="-49598.99"/>
        <n v="16918.580000000002"/>
        <n v="6407.89"/>
        <n v="-23373.72"/>
        <n v="8498.2900000000009"/>
        <n v="-35643.230000000003"/>
        <n v="16306.08"/>
        <n v="5871.74"/>
        <n v="16101.53"/>
        <n v="-86190.38"/>
        <n v="-28127.82"/>
        <n v="-28032.68"/>
        <n v="26072.51"/>
        <n v="-29809.07"/>
        <n v="-81414.259999999995"/>
        <n v="12202.13"/>
        <n v="32989.65"/>
        <n v="16670.099999999999"/>
        <n v="40892.99"/>
        <n v="18475.919999999998"/>
        <n v="-41237.339999999997"/>
        <n v="30645.88"/>
        <n v="42796.89"/>
        <n v="9661.14"/>
        <n v="35801.839999999997"/>
        <n v="-74603.58"/>
        <n v="-93972.63"/>
        <n v="-138891.60999999999"/>
        <n v="17455.150000000001"/>
        <n v="48165.15"/>
        <n v="-72495.47"/>
        <n v="-115645.63"/>
        <n v="32418.09"/>
        <n v="-81082.33"/>
        <n v="6619.83"/>
        <n v="55766.1"/>
        <n v="-6127.42"/>
        <n v="34094.379999999997"/>
        <n v="9479.43"/>
        <n v="-61490.03"/>
        <n v="-42213.48"/>
        <n v="-88621.92"/>
        <n v="-115479.97"/>
        <n v="34886.58"/>
        <n v="68131.12"/>
        <n v="-47185.88"/>
        <n v="-144766.22"/>
        <n v="32222.74"/>
        <n v="6234.27"/>
        <n v="15642.52"/>
        <n v="11154.6"/>
        <n v="6005.71"/>
        <n v="-107902.71"/>
        <n v="22536.959999999999"/>
        <n v="-130946.59"/>
        <n v="28822.34"/>
        <n v="-95742.49"/>
        <n v="5399.56"/>
        <n v="9115.1200000000008"/>
        <n v="5088.41"/>
        <n v="23592.92"/>
        <n v="22641.05"/>
        <n v="-19850.330000000002"/>
        <n v="7818.25"/>
        <n v="17052.400000000001"/>
        <n v="7099.27"/>
        <n v="-115922.7"/>
        <n v="-104076.18"/>
        <n v="38308.550000000003"/>
        <n v="30451.59"/>
        <n v="-10380.19"/>
        <n v="18093.740000000002"/>
        <n v="26297.84"/>
        <n v="15539.02"/>
        <n v="-73444.92"/>
        <n v="-106178.02"/>
        <n v="14227.64"/>
        <n v="48719.1"/>
        <n v="40465.26"/>
        <n v="45570.83"/>
        <n v="-38837.65"/>
        <n v="7249.13"/>
        <n v="-63075.46"/>
        <n v="-27929.49"/>
        <n v="-151361.13"/>
        <n v="-53348.89"/>
        <n v="8644.59"/>
        <n v="-135125.20000000001"/>
        <n v="21317.599999999999"/>
        <n v="-153180.79"/>
        <n v="58718.68"/>
        <n v="61571.65"/>
        <n v="18020.86"/>
        <n v="19609.68"/>
        <n v="9561.33"/>
        <n v="-80249.06"/>
        <n v="19612.150000000001"/>
        <n v="56467.67"/>
        <n v="-104365.63"/>
        <n v="74788.66"/>
        <n v="50983.199999999997"/>
        <n v="31626.55"/>
        <n v="44332.81"/>
        <n v="-32953.519999999997"/>
        <n v="-30633.85"/>
        <n v="-28073.62"/>
        <n v="-141856.92000000001"/>
        <n v="-93914.03"/>
        <n v="-102231.81"/>
        <n v="16743.16"/>
        <n v="46605.58"/>
        <n v="24238.97"/>
        <n v="-108474.34"/>
        <n v="26646.69"/>
        <n v="19759.27"/>
        <n v="-151460.45000000001"/>
        <n v="-5445.52"/>
        <n v="53884.37"/>
        <n v="-177362.66"/>
        <n v="30100"/>
        <n v="15031.66"/>
        <n v="27374.959999999999"/>
        <n v="6106.84"/>
        <n v="8528.5300000000007"/>
        <n v="18869.919999999998"/>
        <n v="4344.47"/>
        <n v="50336.97"/>
        <n v="12506.49"/>
        <n v="22572.1"/>
        <n v="-131208.69"/>
        <n v="29984.33"/>
        <n v="58385.87"/>
        <n v="-21597.01"/>
        <n v="22371.24"/>
        <n v="39834.230000000003"/>
        <n v="5405.81"/>
        <n v="-9608.64"/>
        <n v="-96421.72"/>
        <n v="52359.66"/>
        <n v="-174320.93"/>
        <n v="-92973.56"/>
        <n v="-107737.14"/>
        <n v="17629.05"/>
        <n v="45539.98"/>
        <n v="63146.27"/>
        <n v="20594.72"/>
        <n v="17091.43"/>
        <n v="-104299.97"/>
        <n v="47359.43"/>
        <n v="20811.060000000001"/>
        <n v="61148.68"/>
        <n v="5070.8100000000004"/>
        <n v="12011.86"/>
        <n v="-26008.74"/>
        <n v="11842.66"/>
        <n v="19922.73"/>
        <n v="17751.91"/>
        <n v="-46475.45"/>
        <n v="33987.33"/>
        <n v="26412.639999999999"/>
        <n v="-54311.87"/>
        <n v="19418.099999999999"/>
        <n v="28146.33"/>
        <n v="-144573.89000000001"/>
        <n v="-56337.25"/>
        <n v="19219.13"/>
        <n v="-150186.26"/>
        <n v="60468.53"/>
        <n v="18634.759999999998"/>
        <n v="-142011.51"/>
        <n v="-100710.25"/>
        <n v="31051.03"/>
        <n v="12086.86"/>
        <n v="31440.47"/>
        <n v="-97124.7"/>
        <n v="-77730.3"/>
        <n v="-93569.99"/>
        <n v="-42186.02"/>
        <n v="58238.54"/>
        <n v="-150954.43"/>
        <n v="12110.13"/>
        <n v="26881.77"/>
        <n v="-128082.08"/>
        <n v="52546.17"/>
        <n v="8904.2999999999993"/>
        <n v="-117366.08"/>
        <n v="-137793.15"/>
        <n v="14345.38"/>
        <n v="-95155.12"/>
        <n v="14414.36"/>
        <n v="29401.85"/>
        <n v="25046.92"/>
        <n v="-83674.009999999995"/>
        <n v="-150787.47"/>
        <n v="19496.78"/>
        <n v="-6502.4"/>
        <n v="22631.759999999998"/>
        <n v="-51062.94"/>
        <n v="-26546.58"/>
        <n v="-64439.61"/>
        <n v="18415.310000000001"/>
        <n v="-123014.26"/>
        <n v="-85832.95"/>
        <n v="8102.86"/>
        <n v="-143829.09"/>
        <n v="-3521.61"/>
        <n v="22863.34"/>
        <n v="-178262.87"/>
        <n v="2302.52"/>
        <n v="6112.7"/>
        <n v="13579.35"/>
        <n v="-28212.98"/>
        <n v="31937.45"/>
        <n v="-66364.149999999994"/>
        <n v="-163686.66"/>
        <n v="26706.3"/>
        <n v="15237.66"/>
        <n v="3286.43"/>
        <n v="-83421.05"/>
        <n v="19776.060000000001"/>
        <n v="25773.5"/>
        <n v="14921.93"/>
        <n v="-25189.4"/>
        <n v="22126.36"/>
        <n v="30610.9"/>
        <n v="15941.46"/>
        <n v="-62276.83"/>
        <n v="11410.82"/>
        <n v="-17291.46"/>
        <n v="-105770.11"/>
        <n v="-62937.440000000002"/>
        <n v="22101.18"/>
        <n v="26339.33"/>
        <n v="-20242.64"/>
        <n v="-23611.37"/>
        <n v="25951.279999999999"/>
        <n v="47891.05"/>
        <n v="13432.59"/>
        <n v="89981"/>
        <n v="23706.400000000001"/>
        <n v="22789.38"/>
        <n v="26454.13"/>
        <n v="-24425.59"/>
        <n v="37975.94"/>
        <n v="-8023.89"/>
        <n v="-48737.86"/>
        <n v="17787.189999999999"/>
        <n v="8830.0499999999993"/>
        <n v="17218.11"/>
        <n v="61112.83"/>
        <n v="-3708.81"/>
        <n v="9081.11"/>
        <n v="51952.42"/>
        <n v="19038.84"/>
        <n v="-901.55"/>
        <n v="24580.34"/>
      </sharedItems>
    </cacheField>
    <cacheField name="AccountManager" numFmtId="0">
      <sharedItems/>
    </cacheField>
    <cacheField name="Quarter" numFmtId="0">
      <sharedItems/>
    </cacheField>
    <cacheField name="Year" numFmtId="0">
      <sharedItems containsSemiMixedTypes="0" containsString="0" containsNumber="1" containsInteger="1" minValue="2021" maxValue="2025" count="5">
        <n v="2021"/>
        <n v="2022"/>
        <n v="2024"/>
        <n v="2023"/>
        <n v="2025"/>
      </sharedItems>
    </cacheField>
    <cacheField name="CustomerID" numFmtId="0">
      <sharedItems/>
    </cacheField>
  </cacheFields>
  <extLst>
    <ext xmlns:x14="http://schemas.microsoft.com/office/spreadsheetml/2009/9/main" uri="{725AE2AE-9491-48be-B2B4-4EB974FC3084}">
      <x14:pivotCacheDefinition pivotCacheId="487346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10000"/>
    <s v="2021-02-09"/>
    <s v="West"/>
    <s v="Mumbai"/>
    <x v="0"/>
    <s v="Travel"/>
    <s v="UPI"/>
    <n v="199567"/>
    <x v="0"/>
    <s v="David"/>
    <s v="Q1"/>
    <x v="0"/>
    <s v="C219"/>
  </r>
  <r>
    <s v="T10001"/>
    <s v="2022-04-06"/>
    <s v="North"/>
    <s v="Delhi"/>
    <x v="1"/>
    <s v="Mutual Funds"/>
    <s v="UPI"/>
    <n v="238722"/>
    <x v="1"/>
    <s v="Ravi"/>
    <s v="Q2"/>
    <x v="1"/>
    <s v="C434"/>
  </r>
  <r>
    <s v="T10002"/>
    <s v="2024-01-12"/>
    <s v="North"/>
    <s v="Delhi"/>
    <x v="2"/>
    <s v="Sales"/>
    <s v="Credit Card"/>
    <n v="190597"/>
    <x v="2"/>
    <s v="David"/>
    <s v="Q1"/>
    <x v="2"/>
    <s v="C997"/>
  </r>
  <r>
    <s v="T10003"/>
    <s v="2024-01-24"/>
    <s v="South"/>
    <s v="Chennai"/>
    <x v="0"/>
    <s v="Office Supplies"/>
    <s v="Credit Card"/>
    <n v="58142"/>
    <x v="3"/>
    <s v="David"/>
    <s v="Q1"/>
    <x v="2"/>
    <s v="C188"/>
  </r>
  <r>
    <s v="T10004"/>
    <s v="2023-07-18"/>
    <s v="West"/>
    <s v="Ahmedabad"/>
    <x v="0"/>
    <s v="Travel"/>
    <s v="UPI"/>
    <n v="102044"/>
    <x v="4"/>
    <s v="Karan"/>
    <s v="Q3"/>
    <x v="3"/>
    <s v="C814"/>
  </r>
  <r>
    <s v="T10005"/>
    <s v="2025-12-12"/>
    <s v="West"/>
    <s v="Mumbai"/>
    <x v="0"/>
    <s v="Salary"/>
    <s v="Credit Card"/>
    <n v="99167"/>
    <x v="5"/>
    <s v="Karan"/>
    <s v="Q4"/>
    <x v="4"/>
    <s v="C609"/>
  </r>
  <r>
    <s v="T10006"/>
    <s v="2023-09-12"/>
    <s v="West"/>
    <s v="Pune"/>
    <x v="2"/>
    <s v="Service"/>
    <s v="UPI"/>
    <n v="76092"/>
    <x v="6"/>
    <s v="Arun"/>
    <s v="Q3"/>
    <x v="3"/>
    <s v="C878"/>
  </r>
  <r>
    <s v="T10007"/>
    <s v="2022-09-19"/>
    <s v="West"/>
    <s v="Pune"/>
    <x v="2"/>
    <s v="Sales"/>
    <s v="UPI"/>
    <n v="56951"/>
    <x v="7"/>
    <s v="David"/>
    <s v="Q3"/>
    <x v="1"/>
    <s v="C604"/>
  </r>
  <r>
    <s v="T10008"/>
    <s v="2025-03-08"/>
    <s v="South"/>
    <s v="Coimbatore"/>
    <x v="2"/>
    <s v="Commission"/>
    <s v="Cash"/>
    <n v="53362"/>
    <x v="8"/>
    <s v="Karan"/>
    <s v="Q1"/>
    <x v="4"/>
    <s v="C419"/>
  </r>
  <r>
    <s v="T10009"/>
    <s v="2025-06-07"/>
    <s v="South"/>
    <s v="Coimbatore"/>
    <x v="0"/>
    <s v="Utilities"/>
    <s v="UPI"/>
    <n v="12665"/>
    <x v="9"/>
    <s v="Ravi"/>
    <s v="Q2"/>
    <x v="4"/>
    <s v="C921"/>
  </r>
  <r>
    <s v="T10010"/>
    <s v="2025-03-09"/>
    <s v="East"/>
    <s v="Agartala"/>
    <x v="2"/>
    <s v="Commission"/>
    <s v="Bank Transfer"/>
    <n v="97745"/>
    <x v="10"/>
    <s v="Sneha"/>
    <s v="Q1"/>
    <x v="4"/>
    <s v="C470"/>
  </r>
  <r>
    <s v="T10011"/>
    <s v="2023-07-29"/>
    <s v="North"/>
    <s v="Chandigarh"/>
    <x v="0"/>
    <s v="Office Supplies"/>
    <s v="Credit Card"/>
    <n v="112562"/>
    <x v="11"/>
    <s v="David"/>
    <s v="Q3"/>
    <x v="3"/>
    <s v="C248"/>
  </r>
  <r>
    <s v="T10012"/>
    <s v="2025-04-08"/>
    <s v="North"/>
    <s v="Delhi"/>
    <x v="0"/>
    <s v="Salary"/>
    <s v="Credit Card"/>
    <n v="20541"/>
    <x v="12"/>
    <s v="Karan"/>
    <s v="Q2"/>
    <x v="4"/>
    <s v="C726"/>
  </r>
  <r>
    <s v="T10013"/>
    <s v="2023-06-13"/>
    <s v="West"/>
    <s v="Mumbai"/>
    <x v="0"/>
    <s v="Travel"/>
    <s v="Cash"/>
    <n v="83400"/>
    <x v="13"/>
    <s v="Sneha"/>
    <s v="Q2"/>
    <x v="3"/>
    <s v="C576"/>
  </r>
  <r>
    <s v="T10014"/>
    <s v="2022-08-31"/>
    <s v="West"/>
    <s v="Pune"/>
    <x v="2"/>
    <s v="Commission"/>
    <s v="Bank Transfer"/>
    <n v="153342"/>
    <x v="14"/>
    <s v="Sneha"/>
    <s v="Q3"/>
    <x v="1"/>
    <s v="C916"/>
  </r>
  <r>
    <s v="T10015"/>
    <s v="2021-02-02"/>
    <s v="South"/>
    <s v="Bangalore"/>
    <x v="0"/>
    <s v="Office Supplies"/>
    <s v="Credit Card"/>
    <n v="174485"/>
    <x v="15"/>
    <s v="Anita"/>
    <s v="Q1"/>
    <x v="0"/>
    <s v="C828"/>
  </r>
  <r>
    <s v="T10016"/>
    <s v="2024-10-11"/>
    <s v="South"/>
    <s v="Bangalore"/>
    <x v="2"/>
    <s v="Subscription"/>
    <s v="Cash"/>
    <n v="145272"/>
    <x v="16"/>
    <s v="Sneha"/>
    <s v="Q4"/>
    <x v="2"/>
    <s v="C881"/>
  </r>
  <r>
    <s v="T10017"/>
    <s v="2022-12-09"/>
    <s v="East"/>
    <s v="Bhubaneswar"/>
    <x v="0"/>
    <s v="Utilities"/>
    <s v="Bank Transfer"/>
    <n v="111524"/>
    <x v="17"/>
    <s v="Sneha"/>
    <s v="Q4"/>
    <x v="1"/>
    <s v="C552"/>
  </r>
  <r>
    <s v="T10018"/>
    <s v="2022-04-13"/>
    <s v="South"/>
    <s v="Chennai"/>
    <x v="2"/>
    <s v="Service"/>
    <s v="UPI"/>
    <n v="45172"/>
    <x v="18"/>
    <s v="David"/>
    <s v="Q2"/>
    <x v="1"/>
    <s v="C608"/>
  </r>
  <r>
    <s v="T10019"/>
    <s v="2022-08-05"/>
    <s v="North"/>
    <s v="Delhi"/>
    <x v="0"/>
    <s v="Marketing"/>
    <s v="Credit Card"/>
    <n v="38751"/>
    <x v="19"/>
    <s v="Priya"/>
    <s v="Q3"/>
    <x v="1"/>
    <s v="C367"/>
  </r>
  <r>
    <s v="T10020"/>
    <s v="2025-06-28"/>
    <s v="North"/>
    <s v="Chandigarh"/>
    <x v="1"/>
    <s v="Mutual Funds"/>
    <s v="Bank Transfer"/>
    <n v="143693"/>
    <x v="20"/>
    <s v="Arun"/>
    <s v="Q2"/>
    <x v="4"/>
    <s v="C852"/>
  </r>
  <r>
    <s v="T10021"/>
    <s v="2021-05-12"/>
    <s v="North"/>
    <s v="Chandigarh"/>
    <x v="2"/>
    <s v="Subscription"/>
    <s v="Bank Transfer"/>
    <n v="253138"/>
    <x v="21"/>
    <s v="David"/>
    <s v="Q2"/>
    <x v="0"/>
    <s v="C834"/>
  </r>
  <r>
    <s v="T10022"/>
    <s v="2025-07-22"/>
    <s v="West"/>
    <s v="Pune"/>
    <x v="0"/>
    <s v="Travel"/>
    <s v="UPI"/>
    <n v="157321"/>
    <x v="22"/>
    <s v="Sneha"/>
    <s v="Q3"/>
    <x v="4"/>
    <s v="C421"/>
  </r>
  <r>
    <s v="T10023"/>
    <s v="2023-07-21"/>
    <s v="South"/>
    <s v="Bangalore"/>
    <x v="2"/>
    <s v="Subscription"/>
    <s v="Bank Transfer"/>
    <n v="56574"/>
    <x v="23"/>
    <s v="Anita"/>
    <s v="Q3"/>
    <x v="3"/>
    <s v="C639"/>
  </r>
  <r>
    <s v="T10024"/>
    <s v="2025-08-11"/>
    <s v="South"/>
    <s v="Coimbatore"/>
    <x v="2"/>
    <s v="Commission"/>
    <s v="Credit Card"/>
    <n v="174963"/>
    <x v="24"/>
    <s v="Karan"/>
    <s v="Q3"/>
    <x v="4"/>
    <s v="C440"/>
  </r>
  <r>
    <s v="T10025"/>
    <s v="2021-08-17"/>
    <s v="West"/>
    <s v="Mumbai"/>
    <x v="0"/>
    <s v="Office Supplies"/>
    <s v="Cash"/>
    <n v="99056"/>
    <x v="25"/>
    <s v="Ravi"/>
    <s v="Q3"/>
    <x v="0"/>
    <s v="C359"/>
  </r>
  <r>
    <s v="T10026"/>
    <s v="2025-07-11"/>
    <s v="West"/>
    <s v="Ahmedabad"/>
    <x v="0"/>
    <s v="Travel"/>
    <s v="UPI"/>
    <n v="103974"/>
    <x v="26"/>
    <s v="Anita"/>
    <s v="Q3"/>
    <x v="4"/>
    <s v="C197"/>
  </r>
  <r>
    <s v="T10027"/>
    <s v="2023-06-24"/>
    <s v="North"/>
    <s v="Delhi"/>
    <x v="3"/>
    <s v="Loan Repayment"/>
    <s v="UPI"/>
    <n v="492446"/>
    <x v="27"/>
    <s v="Karan"/>
    <s v="Q2"/>
    <x v="3"/>
    <s v="C417"/>
  </r>
  <r>
    <s v="T10028"/>
    <s v="2024-03-26"/>
    <s v="North"/>
    <s v="Chandigarh"/>
    <x v="2"/>
    <s v="Sales"/>
    <s v="UPI"/>
    <n v="209843"/>
    <x v="28"/>
    <s v="Priya"/>
    <s v="Q1"/>
    <x v="2"/>
    <s v="C619"/>
  </r>
  <r>
    <s v="T10029"/>
    <s v="2023-07-05"/>
    <s v="North"/>
    <s v="Chandigarh"/>
    <x v="2"/>
    <s v="Commission"/>
    <s v="Cash"/>
    <n v="157357"/>
    <x v="29"/>
    <s v="Priya"/>
    <s v="Q3"/>
    <x v="3"/>
    <s v="C148"/>
  </r>
  <r>
    <s v="T10030"/>
    <s v="2024-03-21"/>
    <s v="North"/>
    <s v="Lucknow"/>
    <x v="2"/>
    <s v="Subscription"/>
    <s v="Credit Card"/>
    <n v="286388"/>
    <x v="30"/>
    <s v="Ravi"/>
    <s v="Q1"/>
    <x v="2"/>
    <s v="C569"/>
  </r>
  <r>
    <s v="T10031"/>
    <s v="2023-01-03"/>
    <s v="East"/>
    <s v="Bhubaneswar"/>
    <x v="0"/>
    <s v="Office Supplies"/>
    <s v="Credit Card"/>
    <n v="13396"/>
    <x v="31"/>
    <s v="Priya"/>
    <s v="Q1"/>
    <x v="3"/>
    <s v="C249"/>
  </r>
  <r>
    <s v="T10032"/>
    <s v="2021-05-23"/>
    <s v="North"/>
    <s v="Delhi"/>
    <x v="0"/>
    <s v="Marketing"/>
    <s v="UPI"/>
    <n v="167184"/>
    <x v="32"/>
    <s v="Anita"/>
    <s v="Q2"/>
    <x v="0"/>
    <s v="C335"/>
  </r>
  <r>
    <s v="T10033"/>
    <s v="2023-01-21"/>
    <s v="South"/>
    <s v="Chennai"/>
    <x v="2"/>
    <s v="Sales"/>
    <s v="Cash"/>
    <n v="189730"/>
    <x v="33"/>
    <s v="David"/>
    <s v="Q1"/>
    <x v="3"/>
    <s v="C274"/>
  </r>
  <r>
    <s v="T10034"/>
    <s v="2025-01-06"/>
    <s v="East"/>
    <s v="Bhubaneswar"/>
    <x v="2"/>
    <s v="Service"/>
    <s v="Bank Transfer"/>
    <n v="152222"/>
    <x v="34"/>
    <s v="Arun"/>
    <s v="Q1"/>
    <x v="4"/>
    <s v="C827"/>
  </r>
  <r>
    <s v="T10035"/>
    <s v="2022-12-12"/>
    <s v="East"/>
    <s v="Bhubaneswar"/>
    <x v="0"/>
    <s v="Marketing"/>
    <s v="Credit Card"/>
    <n v="41631"/>
    <x v="35"/>
    <s v="Priya"/>
    <s v="Q4"/>
    <x v="1"/>
    <s v="C596"/>
  </r>
  <r>
    <s v="T10036"/>
    <s v="2022-06-10"/>
    <s v="South"/>
    <s v="Coimbatore"/>
    <x v="0"/>
    <s v="Marketing"/>
    <s v="Credit Card"/>
    <n v="137976"/>
    <x v="36"/>
    <s v="Priya"/>
    <s v="Q2"/>
    <x v="1"/>
    <s v="C583"/>
  </r>
  <r>
    <s v="T10037"/>
    <s v="2023-01-14"/>
    <s v="East"/>
    <s v="Kolkata"/>
    <x v="2"/>
    <s v="Service"/>
    <s v="UPI"/>
    <n v="286311"/>
    <x v="37"/>
    <s v="Sneha"/>
    <s v="Q1"/>
    <x v="3"/>
    <s v="C799"/>
  </r>
  <r>
    <s v="T10038"/>
    <s v="2024-04-24"/>
    <s v="West"/>
    <s v="Mumbai"/>
    <x v="2"/>
    <s v="Commission"/>
    <s v="Cash"/>
    <n v="159567"/>
    <x v="38"/>
    <s v="Priya"/>
    <s v="Q2"/>
    <x v="2"/>
    <s v="C149"/>
  </r>
  <r>
    <s v="T10039"/>
    <s v="2021-01-12"/>
    <s v="North"/>
    <s v="Lucknow"/>
    <x v="0"/>
    <s v="Salary"/>
    <s v="Credit Card"/>
    <n v="102676"/>
    <x v="39"/>
    <s v="Priya"/>
    <s v="Q1"/>
    <x v="0"/>
    <s v="C167"/>
  </r>
  <r>
    <s v="T10040"/>
    <s v="2025-01-02"/>
    <s v="South"/>
    <s v="Bangalore"/>
    <x v="0"/>
    <s v="Marketing"/>
    <s v="Credit Card"/>
    <n v="51832"/>
    <x v="40"/>
    <s v="Ravi"/>
    <s v="Q1"/>
    <x v="4"/>
    <s v="C559"/>
  </r>
  <r>
    <s v="T10041"/>
    <s v="2022-11-03"/>
    <s v="North"/>
    <s v="Lucknow"/>
    <x v="2"/>
    <s v="Sales"/>
    <s v="Credit Card"/>
    <n v="189162"/>
    <x v="41"/>
    <s v="Priya"/>
    <s v="Q4"/>
    <x v="1"/>
    <s v="C256"/>
  </r>
  <r>
    <s v="T10042"/>
    <s v="2024-11-14"/>
    <s v="West"/>
    <s v="Mumbai"/>
    <x v="2"/>
    <s v="Commission"/>
    <s v="Cash"/>
    <n v="221107"/>
    <x v="42"/>
    <s v="Ravi"/>
    <s v="Q4"/>
    <x v="2"/>
    <s v="C304"/>
  </r>
  <r>
    <s v="T10043"/>
    <s v="2023-06-29"/>
    <s v="North"/>
    <s v="Delhi"/>
    <x v="0"/>
    <s v="Office Supplies"/>
    <s v="UPI"/>
    <n v="124657"/>
    <x v="43"/>
    <s v="Ravi"/>
    <s v="Q2"/>
    <x v="3"/>
    <s v="C163"/>
  </r>
  <r>
    <s v="T10044"/>
    <s v="2021-11-17"/>
    <s v="South"/>
    <s v="Bangalore"/>
    <x v="0"/>
    <s v="Utilities"/>
    <s v="UPI"/>
    <n v="116776"/>
    <x v="44"/>
    <s v="David"/>
    <s v="Q4"/>
    <x v="0"/>
    <s v="C409"/>
  </r>
  <r>
    <s v="T10045"/>
    <s v="2022-06-10"/>
    <s v="East"/>
    <s v="Agartala"/>
    <x v="2"/>
    <s v="Commission"/>
    <s v="UPI"/>
    <n v="155733"/>
    <x v="45"/>
    <s v="David"/>
    <s v="Q2"/>
    <x v="1"/>
    <s v="C759"/>
  </r>
  <r>
    <s v="T10046"/>
    <s v="2024-11-12"/>
    <s v="West"/>
    <s v="Ahmedabad"/>
    <x v="0"/>
    <s v="Marketing"/>
    <s v="Credit Card"/>
    <n v="171207"/>
    <x v="46"/>
    <s v="Arun"/>
    <s v="Q4"/>
    <x v="2"/>
    <s v="C200"/>
  </r>
  <r>
    <s v="T10047"/>
    <s v="2022-05-20"/>
    <s v="West"/>
    <s v="Pune"/>
    <x v="2"/>
    <s v="Subscription"/>
    <s v="Bank Transfer"/>
    <n v="229525"/>
    <x v="47"/>
    <s v="Arun"/>
    <s v="Q2"/>
    <x v="1"/>
    <s v="C893"/>
  </r>
  <r>
    <s v="T10048"/>
    <s v="2024-06-13"/>
    <s v="South"/>
    <s v="Chennai"/>
    <x v="1"/>
    <s v="FD"/>
    <s v="UPI"/>
    <n v="59141"/>
    <x v="48"/>
    <s v="Anita"/>
    <s v="Q2"/>
    <x v="2"/>
    <s v="C573"/>
  </r>
  <r>
    <s v="T10049"/>
    <s v="2023-02-26"/>
    <s v="North"/>
    <s v="Delhi"/>
    <x v="3"/>
    <s v="Loan Disbursement"/>
    <s v="Credit Card"/>
    <n v="146473"/>
    <x v="49"/>
    <s v="Karan"/>
    <s v="Q1"/>
    <x v="3"/>
    <s v="C229"/>
  </r>
  <r>
    <s v="T10050"/>
    <s v="2021-08-31"/>
    <s v="North"/>
    <s v="Lucknow"/>
    <x v="0"/>
    <s v="Travel"/>
    <s v="Cash"/>
    <n v="14223"/>
    <x v="50"/>
    <s v="Meera"/>
    <s v="Q3"/>
    <x v="0"/>
    <s v="C475"/>
  </r>
  <r>
    <s v="T10051"/>
    <s v="2021-03-27"/>
    <s v="South"/>
    <s v="Chennai"/>
    <x v="2"/>
    <s v="Commission"/>
    <s v="UPI"/>
    <n v="23391"/>
    <x v="51"/>
    <s v="Ravi"/>
    <s v="Q1"/>
    <x v="0"/>
    <s v="C668"/>
  </r>
  <r>
    <s v="T10052"/>
    <s v="2024-10-01"/>
    <s v="North"/>
    <s v="Chandigarh"/>
    <x v="1"/>
    <s v="Bonds"/>
    <s v="Bank Transfer"/>
    <n v="883070"/>
    <x v="52"/>
    <s v="Arun"/>
    <s v="Q4"/>
    <x v="2"/>
    <s v="C122"/>
  </r>
  <r>
    <s v="T10053"/>
    <s v="2025-04-02"/>
    <s v="South"/>
    <s v="Bangalore"/>
    <x v="2"/>
    <s v="Service"/>
    <s v="UPI"/>
    <n v="29367"/>
    <x v="53"/>
    <s v="Ravi"/>
    <s v="Q2"/>
    <x v="4"/>
    <s v="C204"/>
  </r>
  <r>
    <s v="T10054"/>
    <s v="2025-03-01"/>
    <s v="North"/>
    <s v="Delhi"/>
    <x v="1"/>
    <s v="Mutual Funds"/>
    <s v="Credit Card"/>
    <n v="295392"/>
    <x v="54"/>
    <s v="Anita"/>
    <s v="Q1"/>
    <x v="4"/>
    <s v="C366"/>
  </r>
  <r>
    <s v="T10055"/>
    <s v="2021-01-12"/>
    <s v="East"/>
    <s v="Bhubaneswar"/>
    <x v="0"/>
    <s v="Utilities"/>
    <s v="UPI"/>
    <n v="81285"/>
    <x v="55"/>
    <s v="David"/>
    <s v="Q1"/>
    <x v="0"/>
    <s v="C675"/>
  </r>
  <r>
    <s v="T10056"/>
    <s v="2023-01-08"/>
    <s v="South"/>
    <s v="Bangalore"/>
    <x v="1"/>
    <s v="FD"/>
    <s v="Credit Card"/>
    <n v="410624"/>
    <x v="56"/>
    <s v="Anita"/>
    <s v="Q1"/>
    <x v="3"/>
    <s v="C689"/>
  </r>
  <r>
    <s v="T10057"/>
    <s v="2022-11-05"/>
    <s v="West"/>
    <s v="Ahmedabad"/>
    <x v="2"/>
    <s v="Subscription"/>
    <s v="Credit Card"/>
    <n v="224575"/>
    <x v="57"/>
    <s v="Sneha"/>
    <s v="Q4"/>
    <x v="1"/>
    <s v="C156"/>
  </r>
  <r>
    <s v="T10058"/>
    <s v="2023-06-26"/>
    <s v="North"/>
    <s v="Chandigarh"/>
    <x v="2"/>
    <s v="Commission"/>
    <s v="Bank Transfer"/>
    <n v="232513"/>
    <x v="58"/>
    <s v="Karan"/>
    <s v="Q2"/>
    <x v="3"/>
    <s v="C618"/>
  </r>
  <r>
    <s v="T10059"/>
    <s v="2022-07-03"/>
    <s v="West"/>
    <s v="Pune"/>
    <x v="0"/>
    <s v="Travel"/>
    <s v="Credit Card"/>
    <n v="111517"/>
    <x v="59"/>
    <s v="Arun"/>
    <s v="Q3"/>
    <x v="1"/>
    <s v="C291"/>
  </r>
  <r>
    <s v="T10060"/>
    <s v="2025-01-21"/>
    <s v="South"/>
    <s v="Coimbatore"/>
    <x v="0"/>
    <s v="Travel"/>
    <s v="Cash"/>
    <n v="170171"/>
    <x v="60"/>
    <s v="David"/>
    <s v="Q1"/>
    <x v="4"/>
    <s v="C396"/>
  </r>
  <r>
    <s v="T10061"/>
    <s v="2024-04-06"/>
    <s v="West"/>
    <s v="Mumbai"/>
    <x v="0"/>
    <s v="Utilities"/>
    <s v="Bank Transfer"/>
    <n v="162494"/>
    <x v="61"/>
    <s v="Karan"/>
    <s v="Q2"/>
    <x v="2"/>
    <s v="C724"/>
  </r>
  <r>
    <s v="T10062"/>
    <s v="2021-03-15"/>
    <s v="North"/>
    <s v="Delhi"/>
    <x v="0"/>
    <s v="Marketing"/>
    <s v="Credit Card"/>
    <n v="59940"/>
    <x v="62"/>
    <s v="Ravi"/>
    <s v="Q1"/>
    <x v="0"/>
    <s v="C720"/>
  </r>
  <r>
    <s v="T10063"/>
    <s v="2021-12-04"/>
    <s v="South"/>
    <s v="Chennai"/>
    <x v="3"/>
    <s v="Loan Repayment"/>
    <s v="Cash"/>
    <n v="125453"/>
    <x v="63"/>
    <s v="Priya"/>
    <s v="Q4"/>
    <x v="0"/>
    <s v="C555"/>
  </r>
  <r>
    <s v="T10064"/>
    <s v="2021-03-14"/>
    <s v="North"/>
    <s v="Delhi"/>
    <x v="2"/>
    <s v="Commission"/>
    <s v="UPI"/>
    <n v="267381"/>
    <x v="64"/>
    <s v="Priya"/>
    <s v="Q1"/>
    <x v="0"/>
    <s v="C623"/>
  </r>
  <r>
    <s v="T10065"/>
    <s v="2025-08-09"/>
    <s v="South"/>
    <s v="Bangalore"/>
    <x v="2"/>
    <s v="Service"/>
    <s v="Cash"/>
    <n v="118082"/>
    <x v="65"/>
    <s v="Meera"/>
    <s v="Q3"/>
    <x v="4"/>
    <s v="C282"/>
  </r>
  <r>
    <s v="T10066"/>
    <s v="2025-11-26"/>
    <s v="West"/>
    <s v="Pune"/>
    <x v="0"/>
    <s v="Marketing"/>
    <s v="Credit Card"/>
    <n v="196288"/>
    <x v="66"/>
    <s v="Anita"/>
    <s v="Q4"/>
    <x v="4"/>
    <s v="C380"/>
  </r>
  <r>
    <s v="T10067"/>
    <s v="2024-04-28"/>
    <s v="South"/>
    <s v="Coimbatore"/>
    <x v="2"/>
    <s v="Subscription"/>
    <s v="UPI"/>
    <n v="87019"/>
    <x v="67"/>
    <s v="David"/>
    <s v="Q2"/>
    <x v="2"/>
    <s v="C967"/>
  </r>
  <r>
    <s v="T10068"/>
    <s v="2025-04-20"/>
    <s v="East"/>
    <s v="Kolkata"/>
    <x v="0"/>
    <s v="Marketing"/>
    <s v="UPI"/>
    <n v="126600"/>
    <x v="68"/>
    <s v="Sneha"/>
    <s v="Q2"/>
    <x v="4"/>
    <s v="C430"/>
  </r>
  <r>
    <s v="T10069"/>
    <s v="2021-12-18"/>
    <s v="South"/>
    <s v="Coimbatore"/>
    <x v="2"/>
    <s v="Service"/>
    <s v="Cash"/>
    <n v="137535"/>
    <x v="69"/>
    <s v="David"/>
    <s v="Q4"/>
    <x v="0"/>
    <s v="C194"/>
  </r>
  <r>
    <s v="T10070"/>
    <s v="2023-09-10"/>
    <s v="East"/>
    <s v="Bhubaneswar"/>
    <x v="0"/>
    <s v="Salary"/>
    <s v="Credit Card"/>
    <n v="125021"/>
    <x v="70"/>
    <s v="David"/>
    <s v="Q3"/>
    <x v="3"/>
    <s v="C514"/>
  </r>
  <r>
    <s v="T10071"/>
    <s v="2022-08-17"/>
    <s v="North"/>
    <s v="Lucknow"/>
    <x v="2"/>
    <s v="Subscription"/>
    <s v="UPI"/>
    <n v="238648"/>
    <x v="71"/>
    <s v="Karan"/>
    <s v="Q3"/>
    <x v="1"/>
    <s v="C429"/>
  </r>
  <r>
    <s v="T10072"/>
    <s v="2021-02-15"/>
    <s v="South"/>
    <s v="Coimbatore"/>
    <x v="2"/>
    <s v="Commission"/>
    <s v="Cash"/>
    <n v="189514"/>
    <x v="72"/>
    <s v="Meera"/>
    <s v="Q1"/>
    <x v="0"/>
    <s v="C290"/>
  </r>
  <r>
    <s v="T10073"/>
    <s v="2025-11-29"/>
    <s v="North"/>
    <s v="Delhi"/>
    <x v="0"/>
    <s v="Travel"/>
    <s v="Cash"/>
    <n v="146537"/>
    <x v="73"/>
    <s v="Sneha"/>
    <s v="Q4"/>
    <x v="4"/>
    <s v="C255"/>
  </r>
  <r>
    <s v="T10074"/>
    <s v="2021-01-21"/>
    <s v="West"/>
    <s v="Mumbai"/>
    <x v="2"/>
    <s v="Service"/>
    <s v="Bank Transfer"/>
    <n v="253007"/>
    <x v="74"/>
    <s v="Meera"/>
    <s v="Q1"/>
    <x v="0"/>
    <s v="C361"/>
  </r>
  <r>
    <s v="T10075"/>
    <s v="2022-08-08"/>
    <s v="West"/>
    <s v="Pune"/>
    <x v="0"/>
    <s v="Salary"/>
    <s v="UPI"/>
    <n v="166190"/>
    <x v="75"/>
    <s v="Anita"/>
    <s v="Q3"/>
    <x v="1"/>
    <s v="C247"/>
  </r>
  <r>
    <s v="T10076"/>
    <s v="2025-06-04"/>
    <s v="South"/>
    <s v="Bangalore"/>
    <x v="2"/>
    <s v="Sales"/>
    <s v="UPI"/>
    <n v="287686"/>
    <x v="76"/>
    <s v="Ravi"/>
    <s v="Q2"/>
    <x v="4"/>
    <s v="C459"/>
  </r>
  <r>
    <s v="T10077"/>
    <s v="2024-03-30"/>
    <s v="South"/>
    <s v="Chennai"/>
    <x v="1"/>
    <s v="FD"/>
    <s v="Credit Card"/>
    <n v="638142"/>
    <x v="77"/>
    <s v="Ravi"/>
    <s v="Q1"/>
    <x v="2"/>
    <s v="C901"/>
  </r>
  <r>
    <s v="T10078"/>
    <s v="2022-01-15"/>
    <s v="North"/>
    <s v="Chandigarh"/>
    <x v="1"/>
    <s v="FD"/>
    <s v="Bank Transfer"/>
    <n v="509120"/>
    <x v="78"/>
    <s v="Arun"/>
    <s v="Q1"/>
    <x v="1"/>
    <s v="C506"/>
  </r>
  <r>
    <s v="T10079"/>
    <s v="2024-08-17"/>
    <s v="West"/>
    <s v="Mumbai"/>
    <x v="1"/>
    <s v="FD"/>
    <s v="UPI"/>
    <n v="241956"/>
    <x v="79"/>
    <s v="Meera"/>
    <s v="Q3"/>
    <x v="2"/>
    <s v="C773"/>
  </r>
  <r>
    <s v="T10080"/>
    <s v="2021-08-13"/>
    <s v="North"/>
    <s v="Chandigarh"/>
    <x v="0"/>
    <s v="Marketing"/>
    <s v="UPI"/>
    <n v="128490"/>
    <x v="80"/>
    <s v="Arun"/>
    <s v="Q3"/>
    <x v="0"/>
    <s v="C845"/>
  </r>
  <r>
    <s v="T10081"/>
    <s v="2025-08-06"/>
    <s v="North"/>
    <s v="Delhi"/>
    <x v="0"/>
    <s v="Marketing"/>
    <s v="UPI"/>
    <n v="51914"/>
    <x v="81"/>
    <s v="Sneha"/>
    <s v="Q3"/>
    <x v="4"/>
    <s v="C541"/>
  </r>
  <r>
    <s v="T10082"/>
    <s v="2021-03-17"/>
    <s v="North"/>
    <s v="Lucknow"/>
    <x v="2"/>
    <s v="Commission"/>
    <s v="Credit Card"/>
    <n v="252585"/>
    <x v="82"/>
    <s v="Sneha"/>
    <s v="Q1"/>
    <x v="0"/>
    <s v="C156"/>
  </r>
  <r>
    <s v="T10083"/>
    <s v="2023-10-30"/>
    <s v="South"/>
    <s v="Coimbatore"/>
    <x v="3"/>
    <s v="Loan Disbursement"/>
    <s v="Bank Transfer"/>
    <n v="177054"/>
    <x v="83"/>
    <s v="Anita"/>
    <s v="Q4"/>
    <x v="3"/>
    <s v="C371"/>
  </r>
  <r>
    <s v="T10084"/>
    <s v="2023-06-07"/>
    <s v="South"/>
    <s v="Coimbatore"/>
    <x v="1"/>
    <s v="Bonds"/>
    <s v="Bank Transfer"/>
    <n v="334900"/>
    <x v="84"/>
    <s v="Meera"/>
    <s v="Q2"/>
    <x v="3"/>
    <s v="C466"/>
  </r>
  <r>
    <s v="T10085"/>
    <s v="2022-02-26"/>
    <s v="West"/>
    <s v="Mumbai"/>
    <x v="2"/>
    <s v="Subscription"/>
    <s v="Bank Transfer"/>
    <n v="197722"/>
    <x v="85"/>
    <s v="Ravi"/>
    <s v="Q1"/>
    <x v="1"/>
    <s v="C557"/>
  </r>
  <r>
    <s v="T10086"/>
    <s v="2021-01-01"/>
    <s v="East"/>
    <s v="Bhubaneswar"/>
    <x v="2"/>
    <s v="Sales"/>
    <s v="UPI"/>
    <n v="54791"/>
    <x v="86"/>
    <s v="Meera"/>
    <s v="Q1"/>
    <x v="0"/>
    <s v="C146"/>
  </r>
  <r>
    <s v="T10087"/>
    <s v="2021-04-19"/>
    <s v="West"/>
    <s v="Mumbai"/>
    <x v="1"/>
    <s v="FD"/>
    <s v="UPI"/>
    <n v="874700"/>
    <x v="87"/>
    <s v="Priya"/>
    <s v="Q2"/>
    <x v="0"/>
    <s v="C877"/>
  </r>
  <r>
    <s v="T10088"/>
    <s v="2023-04-17"/>
    <s v="South"/>
    <s v="Chennai"/>
    <x v="2"/>
    <s v="Subscription"/>
    <s v="Bank Transfer"/>
    <n v="188525"/>
    <x v="88"/>
    <s v="Meera"/>
    <s v="Q2"/>
    <x v="3"/>
    <s v="C193"/>
  </r>
  <r>
    <s v="T10089"/>
    <s v="2024-03-19"/>
    <s v="East"/>
    <s v="Bhubaneswar"/>
    <x v="2"/>
    <s v="Service"/>
    <s v="UPI"/>
    <n v="179477"/>
    <x v="89"/>
    <s v="Arun"/>
    <s v="Q1"/>
    <x v="2"/>
    <s v="C627"/>
  </r>
  <r>
    <s v="T10090"/>
    <s v="2021-04-15"/>
    <s v="West"/>
    <s v="Mumbai"/>
    <x v="2"/>
    <s v="Service"/>
    <s v="UPI"/>
    <n v="229687"/>
    <x v="90"/>
    <s v="Ravi"/>
    <s v="Q2"/>
    <x v="0"/>
    <s v="C701"/>
  </r>
  <r>
    <s v="T10091"/>
    <s v="2025-08-13"/>
    <s v="East"/>
    <s v="Agartala"/>
    <x v="2"/>
    <s v="Subscription"/>
    <s v="Credit Card"/>
    <n v="258056"/>
    <x v="91"/>
    <s v="Meera"/>
    <s v="Q3"/>
    <x v="4"/>
    <s v="C624"/>
  </r>
  <r>
    <s v="T10092"/>
    <s v="2023-01-10"/>
    <s v="South"/>
    <s v="Chennai"/>
    <x v="1"/>
    <s v="Bonds"/>
    <s v="UPI"/>
    <n v="258899"/>
    <x v="92"/>
    <s v="Anita"/>
    <s v="Q1"/>
    <x v="3"/>
    <s v="C864"/>
  </r>
  <r>
    <s v="T10093"/>
    <s v="2022-10-06"/>
    <s v="South"/>
    <s v="Chennai"/>
    <x v="0"/>
    <s v="Office Supplies"/>
    <s v="Bank Transfer"/>
    <n v="154153"/>
    <x v="93"/>
    <s v="Sneha"/>
    <s v="Q4"/>
    <x v="1"/>
    <s v="C592"/>
  </r>
  <r>
    <s v="T10094"/>
    <s v="2023-02-25"/>
    <s v="West"/>
    <s v="Pune"/>
    <x v="2"/>
    <s v="Service"/>
    <s v="Cash"/>
    <n v="86072"/>
    <x v="94"/>
    <s v="Priya"/>
    <s v="Q1"/>
    <x v="3"/>
    <s v="C235"/>
  </r>
  <r>
    <s v="T10095"/>
    <s v="2024-06-04"/>
    <s v="South"/>
    <s v="Coimbatore"/>
    <x v="2"/>
    <s v="Service"/>
    <s v="UPI"/>
    <n v="252283"/>
    <x v="95"/>
    <s v="David"/>
    <s v="Q2"/>
    <x v="2"/>
    <s v="C820"/>
  </r>
  <r>
    <s v="T10096"/>
    <s v="2021-02-03"/>
    <s v="North"/>
    <s v="Chandigarh"/>
    <x v="2"/>
    <s v="Sales"/>
    <s v="Cash"/>
    <n v="31134"/>
    <x v="96"/>
    <s v="Sneha"/>
    <s v="Q1"/>
    <x v="0"/>
    <s v="C923"/>
  </r>
  <r>
    <s v="T10097"/>
    <s v="2022-12-06"/>
    <s v="West"/>
    <s v="Mumbai"/>
    <x v="3"/>
    <s v="Loan Repayment"/>
    <s v="Credit Card"/>
    <n v="119610"/>
    <x v="97"/>
    <s v="Sneha"/>
    <s v="Q4"/>
    <x v="1"/>
    <s v="C497"/>
  </r>
  <r>
    <s v="T10098"/>
    <s v="2021-08-28"/>
    <s v="North"/>
    <s v="Delhi"/>
    <x v="2"/>
    <s v="Subscription"/>
    <s v="Credit Card"/>
    <n v="201510"/>
    <x v="98"/>
    <s v="Ravi"/>
    <s v="Q3"/>
    <x v="0"/>
    <s v="C860"/>
  </r>
  <r>
    <s v="T10099"/>
    <s v="2025-07-28"/>
    <s v="East"/>
    <s v="Kolkata"/>
    <x v="1"/>
    <s v="FD"/>
    <s v="UPI"/>
    <n v="966097"/>
    <x v="99"/>
    <s v="Ravi"/>
    <s v="Q3"/>
    <x v="4"/>
    <s v="C352"/>
  </r>
  <r>
    <s v="T10100"/>
    <s v="2025-02-14"/>
    <s v="East"/>
    <s v="Bhubaneswar"/>
    <x v="2"/>
    <s v="Subscription"/>
    <s v="Credit Card"/>
    <n v="116384"/>
    <x v="100"/>
    <s v="Sneha"/>
    <s v="Q1"/>
    <x v="4"/>
    <s v="C430"/>
  </r>
  <r>
    <s v="T10101"/>
    <s v="2021-10-06"/>
    <s v="South"/>
    <s v="Chennai"/>
    <x v="3"/>
    <s v="Loan Disbursement"/>
    <s v="Bank Transfer"/>
    <n v="132822"/>
    <x v="101"/>
    <s v="Sneha"/>
    <s v="Q4"/>
    <x v="0"/>
    <s v="C277"/>
  </r>
  <r>
    <s v="T10102"/>
    <s v="2024-03-10"/>
    <s v="North"/>
    <s v="Lucknow"/>
    <x v="0"/>
    <s v="Travel"/>
    <s v="UPI"/>
    <n v="183697"/>
    <x v="102"/>
    <s v="Sneha"/>
    <s v="Q1"/>
    <x v="2"/>
    <s v="C636"/>
  </r>
  <r>
    <s v="T10103"/>
    <s v="2025-07-18"/>
    <s v="South"/>
    <s v="Coimbatore"/>
    <x v="0"/>
    <s v="Travel"/>
    <s v="Cash"/>
    <n v="89569"/>
    <x v="103"/>
    <s v="Priya"/>
    <s v="Q3"/>
    <x v="4"/>
    <s v="C516"/>
  </r>
  <r>
    <s v="T10104"/>
    <s v="2024-07-14"/>
    <s v="West"/>
    <s v="Ahmedabad"/>
    <x v="2"/>
    <s v="Subscription"/>
    <s v="Cash"/>
    <n v="36013"/>
    <x v="104"/>
    <s v="Karan"/>
    <s v="Q3"/>
    <x v="2"/>
    <s v="C882"/>
  </r>
  <r>
    <s v="T10105"/>
    <s v="2021-04-13"/>
    <s v="East"/>
    <s v="Bhubaneswar"/>
    <x v="0"/>
    <s v="Travel"/>
    <s v="Credit Card"/>
    <n v="121881"/>
    <x v="105"/>
    <s v="David"/>
    <s v="Q2"/>
    <x v="0"/>
    <s v="C236"/>
  </r>
  <r>
    <s v="T10106"/>
    <s v="2022-10-01"/>
    <s v="South"/>
    <s v="Bangalore"/>
    <x v="1"/>
    <s v="Stocks"/>
    <s v="UPI"/>
    <n v="437753"/>
    <x v="106"/>
    <s v="Priya"/>
    <s v="Q4"/>
    <x v="1"/>
    <s v="C529"/>
  </r>
  <r>
    <s v="T10107"/>
    <s v="2021-08-30"/>
    <s v="South"/>
    <s v="Bangalore"/>
    <x v="0"/>
    <s v="Marketing"/>
    <s v="UPI"/>
    <n v="150756"/>
    <x v="107"/>
    <s v="Sneha"/>
    <s v="Q3"/>
    <x v="0"/>
    <s v="C766"/>
  </r>
  <r>
    <s v="T10108"/>
    <s v="2022-10-27"/>
    <s v="East"/>
    <s v="Bhubaneswar"/>
    <x v="0"/>
    <s v="Travel"/>
    <s v="Credit Card"/>
    <n v="57309"/>
    <x v="108"/>
    <s v="Arun"/>
    <s v="Q4"/>
    <x v="1"/>
    <s v="C409"/>
  </r>
  <r>
    <s v="T10109"/>
    <s v="2021-12-09"/>
    <s v="South"/>
    <s v="Chennai"/>
    <x v="0"/>
    <s v="Utilities"/>
    <s v="UPI"/>
    <n v="162539"/>
    <x v="109"/>
    <s v="Sneha"/>
    <s v="Q4"/>
    <x v="0"/>
    <s v="C430"/>
  </r>
  <r>
    <s v="T10110"/>
    <s v="2021-05-17"/>
    <s v="West"/>
    <s v="Ahmedabad"/>
    <x v="0"/>
    <s v="Marketing"/>
    <s v="UPI"/>
    <n v="154991"/>
    <x v="110"/>
    <s v="Karan"/>
    <s v="Q2"/>
    <x v="0"/>
    <s v="C459"/>
  </r>
  <r>
    <s v="T10111"/>
    <s v="2023-01-11"/>
    <s v="West"/>
    <s v="Mumbai"/>
    <x v="0"/>
    <s v="Marketing"/>
    <s v="UPI"/>
    <n v="159968"/>
    <x v="111"/>
    <s v="Ravi"/>
    <s v="Q1"/>
    <x v="3"/>
    <s v="C285"/>
  </r>
  <r>
    <s v="T10112"/>
    <s v="2023-09-15"/>
    <s v="South"/>
    <s v="Chennai"/>
    <x v="0"/>
    <s v="Salary"/>
    <s v="Credit Card"/>
    <n v="197722"/>
    <x v="112"/>
    <s v="David"/>
    <s v="Q3"/>
    <x v="3"/>
    <s v="C489"/>
  </r>
  <r>
    <s v="T10113"/>
    <s v="2022-09-19"/>
    <s v="South"/>
    <s v="Chennai"/>
    <x v="2"/>
    <s v="Sales"/>
    <s v="UPI"/>
    <n v="165988"/>
    <x v="113"/>
    <s v="Anita"/>
    <s v="Q3"/>
    <x v="1"/>
    <s v="C240"/>
  </r>
  <r>
    <s v="T10114"/>
    <s v="2021-09-17"/>
    <s v="South"/>
    <s v="Coimbatore"/>
    <x v="0"/>
    <s v="Utilities"/>
    <s v="Cash"/>
    <n v="196950"/>
    <x v="114"/>
    <s v="Ravi"/>
    <s v="Q3"/>
    <x v="0"/>
    <s v="C439"/>
  </r>
  <r>
    <s v="T10115"/>
    <s v="2021-04-19"/>
    <s v="North"/>
    <s v="Chandigarh"/>
    <x v="2"/>
    <s v="Service"/>
    <s v="Credit Card"/>
    <n v="22536"/>
    <x v="115"/>
    <s v="Priya"/>
    <s v="Q2"/>
    <x v="0"/>
    <s v="C468"/>
  </r>
  <r>
    <s v="T10116"/>
    <s v="2022-02-27"/>
    <s v="South"/>
    <s v="Chennai"/>
    <x v="0"/>
    <s v="Marketing"/>
    <s v="UPI"/>
    <n v="7177"/>
    <x v="116"/>
    <s v="Ravi"/>
    <s v="Q1"/>
    <x v="1"/>
    <s v="C130"/>
  </r>
  <r>
    <s v="T10117"/>
    <s v="2022-04-17"/>
    <s v="East"/>
    <s v="Agartala"/>
    <x v="0"/>
    <s v="Marketing"/>
    <s v="Credit Card"/>
    <n v="104495"/>
    <x v="117"/>
    <s v="David"/>
    <s v="Q2"/>
    <x v="1"/>
    <s v="C748"/>
  </r>
  <r>
    <s v="T10118"/>
    <s v="2024-06-17"/>
    <s v="North"/>
    <s v="Chandigarh"/>
    <x v="2"/>
    <s v="Subscription"/>
    <s v="Credit Card"/>
    <n v="139820"/>
    <x v="118"/>
    <s v="David"/>
    <s v="Q2"/>
    <x v="2"/>
    <s v="C469"/>
  </r>
  <r>
    <s v="T10119"/>
    <s v="2021-12-05"/>
    <s v="South"/>
    <s v="Chennai"/>
    <x v="2"/>
    <s v="Subscription"/>
    <s v="UPI"/>
    <n v="262983"/>
    <x v="119"/>
    <s v="David"/>
    <s v="Q4"/>
    <x v="0"/>
    <s v="C856"/>
  </r>
  <r>
    <s v="T10120"/>
    <s v="2022-05-24"/>
    <s v="South"/>
    <s v="Coimbatore"/>
    <x v="2"/>
    <s v="Commission"/>
    <s v="UPI"/>
    <n v="134375"/>
    <x v="120"/>
    <s v="Meera"/>
    <s v="Q2"/>
    <x v="1"/>
    <s v="C492"/>
  </r>
  <r>
    <s v="T10121"/>
    <s v="2025-11-19"/>
    <s v="North"/>
    <s v="Chandigarh"/>
    <x v="0"/>
    <s v="Marketing"/>
    <s v="Bank Transfer"/>
    <n v="145692"/>
    <x v="121"/>
    <s v="Anita"/>
    <s v="Q4"/>
    <x v="4"/>
    <s v="C753"/>
  </r>
  <r>
    <s v="T10122"/>
    <s v="2022-05-31"/>
    <s v="North"/>
    <s v="Chandigarh"/>
    <x v="2"/>
    <s v="Sales"/>
    <s v="Credit Card"/>
    <n v="166683"/>
    <x v="122"/>
    <s v="Meera"/>
    <s v="Q2"/>
    <x v="1"/>
    <s v="C937"/>
  </r>
  <r>
    <s v="T10123"/>
    <s v="2021-10-02"/>
    <s v="North"/>
    <s v="Delhi"/>
    <x v="0"/>
    <s v="Office Supplies"/>
    <s v="Cash"/>
    <n v="14963"/>
    <x v="123"/>
    <s v="Meera"/>
    <s v="Q4"/>
    <x v="0"/>
    <s v="C193"/>
  </r>
  <r>
    <s v="T10124"/>
    <s v="2024-03-27"/>
    <s v="South"/>
    <s v="Chennai"/>
    <x v="2"/>
    <s v="Service"/>
    <s v="UPI"/>
    <n v="225510"/>
    <x v="124"/>
    <s v="Karan"/>
    <s v="Q1"/>
    <x v="2"/>
    <s v="C107"/>
  </r>
  <r>
    <s v="T10125"/>
    <s v="2023-05-29"/>
    <s v="South"/>
    <s v="Coimbatore"/>
    <x v="2"/>
    <s v="Commission"/>
    <s v="Credit Card"/>
    <n v="79332"/>
    <x v="125"/>
    <s v="Anita"/>
    <s v="Q2"/>
    <x v="3"/>
    <s v="C381"/>
  </r>
  <r>
    <s v="T10126"/>
    <s v="2025-12-10"/>
    <s v="North"/>
    <s v="Lucknow"/>
    <x v="2"/>
    <s v="Commission"/>
    <s v="Credit Card"/>
    <n v="62093"/>
    <x v="126"/>
    <s v="Anita"/>
    <s v="Q4"/>
    <x v="4"/>
    <s v="C941"/>
  </r>
  <r>
    <s v="T10127"/>
    <s v="2024-06-02"/>
    <s v="East"/>
    <s v="Kolkata"/>
    <x v="0"/>
    <s v="Travel"/>
    <s v="UPI"/>
    <n v="77124"/>
    <x v="127"/>
    <s v="Meera"/>
    <s v="Q2"/>
    <x v="2"/>
    <s v="C668"/>
  </r>
  <r>
    <s v="T10128"/>
    <s v="2024-12-17"/>
    <s v="South"/>
    <s v="Coimbatore"/>
    <x v="0"/>
    <s v="Marketing"/>
    <s v="UPI"/>
    <n v="144204"/>
    <x v="128"/>
    <s v="Anita"/>
    <s v="Q4"/>
    <x v="2"/>
    <s v="C113"/>
  </r>
  <r>
    <s v="T10129"/>
    <s v="2022-11-11"/>
    <s v="East"/>
    <s v="Bhubaneswar"/>
    <x v="2"/>
    <s v="Sales"/>
    <s v="Bank Transfer"/>
    <n v="127018"/>
    <x v="129"/>
    <s v="Priya"/>
    <s v="Q4"/>
    <x v="1"/>
    <s v="C741"/>
  </r>
  <r>
    <s v="T10130"/>
    <s v="2025-09-24"/>
    <s v="East"/>
    <s v="Kolkata"/>
    <x v="0"/>
    <s v="Utilities"/>
    <s v="UPI"/>
    <n v="135592"/>
    <x v="130"/>
    <s v="Karan"/>
    <s v="Q3"/>
    <x v="4"/>
    <s v="C751"/>
  </r>
  <r>
    <s v="T10131"/>
    <s v="2023-06-01"/>
    <s v="West"/>
    <s v="Mumbai"/>
    <x v="1"/>
    <s v="Mutual Funds"/>
    <s v="Bank Transfer"/>
    <n v="140359"/>
    <x v="131"/>
    <s v="David"/>
    <s v="Q2"/>
    <x v="3"/>
    <s v="C241"/>
  </r>
  <r>
    <s v="T10132"/>
    <s v="2025-07-07"/>
    <s v="South"/>
    <s v="Bangalore"/>
    <x v="2"/>
    <s v="Service"/>
    <s v="Cash"/>
    <n v="252772"/>
    <x v="132"/>
    <s v="Ravi"/>
    <s v="Q3"/>
    <x v="4"/>
    <s v="C374"/>
  </r>
  <r>
    <s v="T10133"/>
    <s v="2023-12-21"/>
    <s v="West"/>
    <s v="Ahmedabad"/>
    <x v="2"/>
    <s v="Service"/>
    <s v="Credit Card"/>
    <n v="179882"/>
    <x v="133"/>
    <s v="Sneha"/>
    <s v="Q4"/>
    <x v="3"/>
    <s v="C579"/>
  </r>
  <r>
    <s v="T10134"/>
    <s v="2022-11-20"/>
    <s v="West"/>
    <s v="Ahmedabad"/>
    <x v="0"/>
    <s v="Utilities"/>
    <s v="Cash"/>
    <n v="16281"/>
    <x v="134"/>
    <s v="David"/>
    <s v="Q4"/>
    <x v="1"/>
    <s v="C343"/>
  </r>
  <r>
    <s v="T10135"/>
    <s v="2024-03-21"/>
    <s v="East"/>
    <s v="Bhubaneswar"/>
    <x v="0"/>
    <s v="Utilities"/>
    <s v="UPI"/>
    <n v="49190"/>
    <x v="135"/>
    <s v="Arun"/>
    <s v="Q1"/>
    <x v="2"/>
    <s v="C575"/>
  </r>
  <r>
    <s v="T10136"/>
    <s v="2025-02-03"/>
    <s v="East"/>
    <s v="Kolkata"/>
    <x v="0"/>
    <s v="Travel"/>
    <s v="UPI"/>
    <n v="49081"/>
    <x v="136"/>
    <s v="Anita"/>
    <s v="Q1"/>
    <x v="4"/>
    <s v="C686"/>
  </r>
  <r>
    <s v="T10137"/>
    <s v="2021-08-10"/>
    <s v="North"/>
    <s v="Lucknow"/>
    <x v="0"/>
    <s v="Utilities"/>
    <s v="Credit Card"/>
    <n v="50026"/>
    <x v="137"/>
    <s v="Ravi"/>
    <s v="Q3"/>
    <x v="0"/>
    <s v="C660"/>
  </r>
  <r>
    <s v="T10138"/>
    <s v="2024-08-02"/>
    <s v="South"/>
    <s v="Chennai"/>
    <x v="0"/>
    <s v="Travel"/>
    <s v="Credit Card"/>
    <n v="65685"/>
    <x v="138"/>
    <s v="Ravi"/>
    <s v="Q3"/>
    <x v="2"/>
    <s v="C820"/>
  </r>
  <r>
    <s v="T10139"/>
    <s v="2023-07-31"/>
    <s v="South"/>
    <s v="Chennai"/>
    <x v="0"/>
    <s v="Travel"/>
    <s v="Cash"/>
    <n v="168854"/>
    <x v="139"/>
    <s v="Arun"/>
    <s v="Q3"/>
    <x v="3"/>
    <s v="C369"/>
  </r>
  <r>
    <s v="T10140"/>
    <s v="2025-09-01"/>
    <s v="South"/>
    <s v="Coimbatore"/>
    <x v="0"/>
    <s v="Marketing"/>
    <s v="Credit Card"/>
    <n v="154230"/>
    <x v="140"/>
    <s v="Sneha"/>
    <s v="Q3"/>
    <x v="4"/>
    <s v="C831"/>
  </r>
  <r>
    <s v="T10141"/>
    <s v="2024-10-17"/>
    <s v="West"/>
    <s v="Mumbai"/>
    <x v="0"/>
    <s v="Office Supplies"/>
    <s v="Credit Card"/>
    <n v="85850"/>
    <x v="141"/>
    <s v="Meera"/>
    <s v="Q4"/>
    <x v="2"/>
    <s v="C221"/>
  </r>
  <r>
    <s v="T10142"/>
    <s v="2024-01-20"/>
    <s v="North"/>
    <s v="Lucknow"/>
    <x v="0"/>
    <s v="Marketing"/>
    <s v="Credit Card"/>
    <n v="165513"/>
    <x v="142"/>
    <s v="Sneha"/>
    <s v="Q1"/>
    <x v="2"/>
    <s v="C154"/>
  </r>
  <r>
    <s v="T10143"/>
    <s v="2024-10-02"/>
    <s v="North"/>
    <s v="Delhi"/>
    <x v="0"/>
    <s v="Utilities"/>
    <s v="Cash"/>
    <n v="96235"/>
    <x v="143"/>
    <s v="David"/>
    <s v="Q4"/>
    <x v="2"/>
    <s v="C569"/>
  </r>
  <r>
    <s v="T10144"/>
    <s v="2021-09-04"/>
    <s v="West"/>
    <s v="Ahmedabad"/>
    <x v="0"/>
    <s v="Utilities"/>
    <s v="Credit Card"/>
    <n v="163739"/>
    <x v="144"/>
    <s v="Arun"/>
    <s v="Q3"/>
    <x v="0"/>
    <s v="C810"/>
  </r>
  <r>
    <s v="T10145"/>
    <s v="2023-11-06"/>
    <s v="North"/>
    <s v="Delhi"/>
    <x v="0"/>
    <s v="Salary"/>
    <s v="Credit Card"/>
    <n v="90141"/>
    <x v="145"/>
    <s v="Priya"/>
    <s v="Q4"/>
    <x v="3"/>
    <s v="C246"/>
  </r>
  <r>
    <s v="T10146"/>
    <s v="2023-01-18"/>
    <s v="West"/>
    <s v="Mumbai"/>
    <x v="2"/>
    <s v="Sales"/>
    <s v="Credit Card"/>
    <n v="201142"/>
    <x v="146"/>
    <s v="David"/>
    <s v="Q1"/>
    <x v="3"/>
    <s v="C247"/>
  </r>
  <r>
    <s v="T10147"/>
    <s v="2022-08-09"/>
    <s v="East"/>
    <s v="Agartala"/>
    <x v="2"/>
    <s v="Service"/>
    <s v="Credit Card"/>
    <n v="119627"/>
    <x v="147"/>
    <s v="David"/>
    <s v="Q3"/>
    <x v="1"/>
    <s v="C440"/>
  </r>
  <r>
    <s v="T10148"/>
    <s v="2025-02-02"/>
    <s v="East"/>
    <s v="Bhubaneswar"/>
    <x v="0"/>
    <s v="Salary"/>
    <s v="Bank Transfer"/>
    <n v="15775"/>
    <x v="148"/>
    <s v="Ravi"/>
    <s v="Q1"/>
    <x v="4"/>
    <s v="C734"/>
  </r>
  <r>
    <s v="T10149"/>
    <s v="2023-02-24"/>
    <s v="West"/>
    <s v="Pune"/>
    <x v="2"/>
    <s v="Subscription"/>
    <s v="UPI"/>
    <n v="92989"/>
    <x v="149"/>
    <s v="Meera"/>
    <s v="Q1"/>
    <x v="3"/>
    <s v="C900"/>
  </r>
  <r>
    <s v="T10150"/>
    <s v="2025-10-31"/>
    <s v="South"/>
    <s v="Coimbatore"/>
    <x v="0"/>
    <s v="Utilities"/>
    <s v="UPI"/>
    <n v="47814"/>
    <x v="150"/>
    <s v="Ravi"/>
    <s v="Q4"/>
    <x v="4"/>
    <s v="C524"/>
  </r>
  <r>
    <s v="T10151"/>
    <s v="2025-02-18"/>
    <s v="East"/>
    <s v="Bhubaneswar"/>
    <x v="1"/>
    <s v="Stocks"/>
    <s v="Credit Card"/>
    <n v="750824"/>
    <x v="151"/>
    <s v="Anita"/>
    <s v="Q1"/>
    <x v="4"/>
    <s v="C155"/>
  </r>
  <r>
    <s v="T10152"/>
    <s v="2025-03-08"/>
    <s v="North"/>
    <s v="Lucknow"/>
    <x v="1"/>
    <s v="Mutual Funds"/>
    <s v="UPI"/>
    <n v="143547"/>
    <x v="152"/>
    <s v="Anita"/>
    <s v="Q1"/>
    <x v="4"/>
    <s v="C208"/>
  </r>
  <r>
    <s v="T10153"/>
    <s v="2022-07-14"/>
    <s v="South"/>
    <s v="Bangalore"/>
    <x v="2"/>
    <s v="Sales"/>
    <s v="Bank Transfer"/>
    <n v="42342"/>
    <x v="153"/>
    <s v="Priya"/>
    <s v="Q3"/>
    <x v="1"/>
    <s v="C545"/>
  </r>
  <r>
    <s v="T10154"/>
    <s v="2022-03-06"/>
    <s v="West"/>
    <s v="Mumbai"/>
    <x v="2"/>
    <s v="Commission"/>
    <s v="Bank Transfer"/>
    <n v="78499"/>
    <x v="154"/>
    <s v="Arun"/>
    <s v="Q1"/>
    <x v="1"/>
    <s v="C411"/>
  </r>
  <r>
    <s v="T10155"/>
    <s v="2023-12-15"/>
    <s v="East"/>
    <s v="Agartala"/>
    <x v="2"/>
    <s v="Sales"/>
    <s v="UPI"/>
    <n v="279921"/>
    <x v="155"/>
    <s v="Arun"/>
    <s v="Q4"/>
    <x v="3"/>
    <s v="C313"/>
  </r>
  <r>
    <s v="T10156"/>
    <s v="2022-03-20"/>
    <s v="South"/>
    <s v="Bangalore"/>
    <x v="2"/>
    <s v="Service"/>
    <s v="Credit Card"/>
    <n v="150150"/>
    <x v="156"/>
    <s v="Meera"/>
    <s v="Q1"/>
    <x v="1"/>
    <s v="C626"/>
  </r>
  <r>
    <s v="T10157"/>
    <s v="2022-10-19"/>
    <s v="South"/>
    <s v="Chennai"/>
    <x v="0"/>
    <s v="Marketing"/>
    <s v="Bank Transfer"/>
    <n v="194397"/>
    <x v="157"/>
    <s v="Anita"/>
    <s v="Q4"/>
    <x v="1"/>
    <s v="C247"/>
  </r>
  <r>
    <s v="T10158"/>
    <s v="2021-09-25"/>
    <s v="West"/>
    <s v="Pune"/>
    <x v="0"/>
    <s v="Utilities"/>
    <s v="Credit Card"/>
    <n v="94327"/>
    <x v="158"/>
    <s v="Arun"/>
    <s v="Q3"/>
    <x v="0"/>
    <s v="C616"/>
  </r>
  <r>
    <s v="T10159"/>
    <s v="2023-11-05"/>
    <s v="West"/>
    <s v="Mumbai"/>
    <x v="2"/>
    <s v="Subscription"/>
    <s v="Bank Transfer"/>
    <n v="170862"/>
    <x v="159"/>
    <s v="David"/>
    <s v="Q4"/>
    <x v="3"/>
    <s v="C353"/>
  </r>
  <r>
    <s v="T10160"/>
    <s v="2024-10-19"/>
    <s v="North"/>
    <s v="Delhi"/>
    <x v="0"/>
    <s v="Marketing"/>
    <s v="UPI"/>
    <n v="93433"/>
    <x v="160"/>
    <s v="David"/>
    <s v="Q4"/>
    <x v="2"/>
    <s v="C537"/>
  </r>
  <r>
    <s v="T10161"/>
    <s v="2021-05-08"/>
    <s v="West"/>
    <s v="Ahmedabad"/>
    <x v="2"/>
    <s v="Service"/>
    <s v="UPI"/>
    <n v="72491"/>
    <x v="161"/>
    <s v="David"/>
    <s v="Q2"/>
    <x v="0"/>
    <s v="C235"/>
  </r>
  <r>
    <s v="T10162"/>
    <s v="2025-08-01"/>
    <s v="North"/>
    <s v="Delhi"/>
    <x v="3"/>
    <s v="Loan Repayment"/>
    <s v="UPI"/>
    <n v="169571"/>
    <x v="162"/>
    <s v="Arun"/>
    <s v="Q3"/>
    <x v="4"/>
    <s v="C484"/>
  </r>
  <r>
    <s v="T10163"/>
    <s v="2024-09-22"/>
    <s v="West"/>
    <s v="Ahmedabad"/>
    <x v="2"/>
    <s v="Service"/>
    <s v="Credit Card"/>
    <n v="47440"/>
    <x v="163"/>
    <s v="Priya"/>
    <s v="Q3"/>
    <x v="2"/>
    <s v="C873"/>
  </r>
  <r>
    <s v="T10164"/>
    <s v="2024-12-22"/>
    <s v="South"/>
    <s v="Coimbatore"/>
    <x v="0"/>
    <s v="Salary"/>
    <s v="Credit Card"/>
    <n v="34159"/>
    <x v="164"/>
    <s v="Karan"/>
    <s v="Q4"/>
    <x v="2"/>
    <s v="C683"/>
  </r>
  <r>
    <s v="T10165"/>
    <s v="2023-11-05"/>
    <s v="South"/>
    <s v="Chennai"/>
    <x v="0"/>
    <s v="Travel"/>
    <s v="Bank Transfer"/>
    <n v="52326"/>
    <x v="165"/>
    <s v="Anita"/>
    <s v="Q4"/>
    <x v="3"/>
    <s v="C846"/>
  </r>
  <r>
    <s v="T10166"/>
    <s v="2024-03-19"/>
    <s v="North"/>
    <s v="Lucknow"/>
    <x v="0"/>
    <s v="Travel"/>
    <s v="Credit Card"/>
    <n v="92209"/>
    <x v="166"/>
    <s v="David"/>
    <s v="Q1"/>
    <x v="2"/>
    <s v="C788"/>
  </r>
  <r>
    <s v="T10167"/>
    <s v="2022-07-06"/>
    <s v="West"/>
    <s v="Pune"/>
    <x v="0"/>
    <s v="Office Supplies"/>
    <s v="UPI"/>
    <n v="169953"/>
    <x v="167"/>
    <s v="Priya"/>
    <s v="Q3"/>
    <x v="1"/>
    <s v="C436"/>
  </r>
  <r>
    <s v="T10168"/>
    <s v="2025-05-14"/>
    <s v="West"/>
    <s v="Pune"/>
    <x v="2"/>
    <s v="Service"/>
    <s v="Cash"/>
    <n v="233382"/>
    <x v="168"/>
    <s v="Meera"/>
    <s v="Q2"/>
    <x v="4"/>
    <s v="C764"/>
  </r>
  <r>
    <s v="T10169"/>
    <s v="2024-08-03"/>
    <s v="South"/>
    <s v="Coimbatore"/>
    <x v="0"/>
    <s v="Utilities"/>
    <s v="Cash"/>
    <n v="23264"/>
    <x v="169"/>
    <s v="Priya"/>
    <s v="Q3"/>
    <x v="2"/>
    <s v="C745"/>
  </r>
  <r>
    <s v="T10170"/>
    <s v="2023-08-21"/>
    <s v="West"/>
    <s v="Pune"/>
    <x v="0"/>
    <s v="Office Supplies"/>
    <s v="UPI"/>
    <n v="191186"/>
    <x v="170"/>
    <s v="Karan"/>
    <s v="Q3"/>
    <x v="3"/>
    <s v="C463"/>
  </r>
  <r>
    <s v="T10171"/>
    <s v="2023-12-21"/>
    <s v="East"/>
    <s v="Agartala"/>
    <x v="0"/>
    <s v="Utilities"/>
    <s v="Bank Transfer"/>
    <n v="108418"/>
    <x v="171"/>
    <s v="Ravi"/>
    <s v="Q4"/>
    <x v="3"/>
    <s v="C835"/>
  </r>
  <r>
    <s v="T10172"/>
    <s v="2022-11-11"/>
    <s v="South"/>
    <s v="Coimbatore"/>
    <x v="1"/>
    <s v="Stocks"/>
    <s v="UPI"/>
    <n v="628587"/>
    <x v="172"/>
    <s v="Arun"/>
    <s v="Q4"/>
    <x v="1"/>
    <s v="C772"/>
  </r>
  <r>
    <s v="T10173"/>
    <s v="2021-08-15"/>
    <s v="East"/>
    <s v="Kolkata"/>
    <x v="0"/>
    <s v="Utilities"/>
    <s v="Credit Card"/>
    <n v="185018"/>
    <x v="173"/>
    <s v="Anita"/>
    <s v="Q3"/>
    <x v="0"/>
    <s v="C384"/>
  </r>
  <r>
    <s v="T10174"/>
    <s v="2025-08-30"/>
    <s v="North"/>
    <s v="Delhi"/>
    <x v="0"/>
    <s v="Marketing"/>
    <s v="Credit Card"/>
    <n v="184993"/>
    <x v="174"/>
    <s v="Arun"/>
    <s v="Q3"/>
    <x v="4"/>
    <s v="C163"/>
  </r>
  <r>
    <s v="T10175"/>
    <s v="2022-03-05"/>
    <s v="North"/>
    <s v="Chandigarh"/>
    <x v="2"/>
    <s v="Sales"/>
    <s v="Bank Transfer"/>
    <n v="107569"/>
    <x v="175"/>
    <s v="Arun"/>
    <s v="Q1"/>
    <x v="1"/>
    <s v="C366"/>
  </r>
  <r>
    <s v="T10176"/>
    <s v="2023-08-12"/>
    <s v="South"/>
    <s v="Bangalore"/>
    <x v="2"/>
    <s v="Subscription"/>
    <s v="Bank Transfer"/>
    <n v="183182"/>
    <x v="176"/>
    <s v="Karan"/>
    <s v="Q3"/>
    <x v="3"/>
    <s v="C374"/>
  </r>
  <r>
    <s v="T10177"/>
    <s v="2025-08-29"/>
    <s v="North"/>
    <s v="Lucknow"/>
    <x v="2"/>
    <s v="Subscription"/>
    <s v="UPI"/>
    <n v="44254"/>
    <x v="177"/>
    <s v="Priya"/>
    <s v="Q3"/>
    <x v="4"/>
    <s v="C161"/>
  </r>
  <r>
    <s v="T10178"/>
    <s v="2021-02-12"/>
    <s v="North"/>
    <s v="Chandigarh"/>
    <x v="2"/>
    <s v="Subscription"/>
    <s v="Cash"/>
    <n v="178313"/>
    <x v="178"/>
    <s v="Sneha"/>
    <s v="Q1"/>
    <x v="0"/>
    <s v="C650"/>
  </r>
  <r>
    <s v="T10179"/>
    <s v="2022-11-17"/>
    <s v="North"/>
    <s v="Lucknow"/>
    <x v="2"/>
    <s v="Commission"/>
    <s v="Bank Transfer"/>
    <n v="250168"/>
    <x v="179"/>
    <s v="Arun"/>
    <s v="Q4"/>
    <x v="1"/>
    <s v="C891"/>
  </r>
  <r>
    <s v="T10180"/>
    <s v="2025-07-27"/>
    <s v="North"/>
    <s v="Chandigarh"/>
    <x v="0"/>
    <s v="Marketing"/>
    <s v="Credit Card"/>
    <n v="128313"/>
    <x v="180"/>
    <s v="Anita"/>
    <s v="Q3"/>
    <x v="4"/>
    <s v="C216"/>
  </r>
  <r>
    <s v="T10181"/>
    <s v="2025-04-27"/>
    <s v="East"/>
    <s v="Agartala"/>
    <x v="3"/>
    <s v="Loan Repayment"/>
    <s v="Bank Transfer"/>
    <n v="192408"/>
    <x v="181"/>
    <s v="Karan"/>
    <s v="Q2"/>
    <x v="4"/>
    <s v="C707"/>
  </r>
  <r>
    <s v="T10182"/>
    <s v="2021-04-12"/>
    <s v="South"/>
    <s v="Bangalore"/>
    <x v="2"/>
    <s v="Sales"/>
    <s v="Cash"/>
    <n v="202191"/>
    <x v="182"/>
    <s v="Ravi"/>
    <s v="Q2"/>
    <x v="0"/>
    <s v="C492"/>
  </r>
  <r>
    <s v="T10183"/>
    <s v="2024-07-11"/>
    <s v="North"/>
    <s v="Chandigarh"/>
    <x v="2"/>
    <s v="Service"/>
    <s v="Cash"/>
    <n v="115514"/>
    <x v="183"/>
    <s v="Ravi"/>
    <s v="Q3"/>
    <x v="2"/>
    <s v="C457"/>
  </r>
  <r>
    <s v="T10184"/>
    <s v="2021-11-03"/>
    <s v="East"/>
    <s v="Kolkata"/>
    <x v="2"/>
    <s v="Sales"/>
    <s v="UPI"/>
    <n v="266639"/>
    <x v="184"/>
    <s v="Priya"/>
    <s v="Q4"/>
    <x v="0"/>
    <s v="C985"/>
  </r>
  <r>
    <s v="T10185"/>
    <s v="2022-12-13"/>
    <s v="South"/>
    <s v="Coimbatore"/>
    <x v="0"/>
    <s v="Marketing"/>
    <s v="Credit Card"/>
    <n v="58473"/>
    <x v="185"/>
    <s v="David"/>
    <s v="Q4"/>
    <x v="1"/>
    <s v="C710"/>
  </r>
  <r>
    <s v="T10186"/>
    <s v="2024-08-31"/>
    <s v="East"/>
    <s v="Agartala"/>
    <x v="0"/>
    <s v="Utilities"/>
    <s v="Cash"/>
    <n v="60000"/>
    <x v="186"/>
    <s v="Sneha"/>
    <s v="Q3"/>
    <x v="2"/>
    <s v="C547"/>
  </r>
  <r>
    <s v="T10187"/>
    <s v="2024-12-30"/>
    <s v="East"/>
    <s v="Bhubaneswar"/>
    <x v="1"/>
    <s v="Mutual Funds"/>
    <s v="Bank Transfer"/>
    <n v="578180"/>
    <x v="187"/>
    <s v="Priya"/>
    <s v="Q4"/>
    <x v="2"/>
    <s v="C305"/>
  </r>
  <r>
    <s v="T10188"/>
    <s v="2022-10-20"/>
    <s v="North"/>
    <s v="Chandigarh"/>
    <x v="0"/>
    <s v="Office Supplies"/>
    <s v="UPI"/>
    <n v="123958"/>
    <x v="188"/>
    <s v="Sneha"/>
    <s v="Q4"/>
    <x v="1"/>
    <s v="C780"/>
  </r>
  <r>
    <s v="T10189"/>
    <s v="2021-05-19"/>
    <s v="South"/>
    <s v="Chennai"/>
    <x v="0"/>
    <s v="Utilities"/>
    <s v="UPI"/>
    <n v="173714"/>
    <x v="189"/>
    <s v="Anita"/>
    <s v="Q2"/>
    <x v="0"/>
    <s v="C476"/>
  </r>
  <r>
    <s v="T10190"/>
    <s v="2025-11-16"/>
    <s v="North"/>
    <s v="Delhi"/>
    <x v="2"/>
    <s v="Sales"/>
    <s v="Credit Card"/>
    <n v="185957"/>
    <x v="190"/>
    <s v="Anita"/>
    <s v="Q4"/>
    <x v="4"/>
    <s v="C404"/>
  </r>
  <r>
    <s v="T10191"/>
    <s v="2022-01-27"/>
    <s v="North"/>
    <s v="Chandigarh"/>
    <x v="0"/>
    <s v="Utilities"/>
    <s v="Credit Card"/>
    <n v="142013"/>
    <x v="191"/>
    <s v="Ravi"/>
    <s v="Q1"/>
    <x v="1"/>
    <s v="C433"/>
  </r>
  <r>
    <s v="T10192"/>
    <s v="2022-04-29"/>
    <s v="South"/>
    <s v="Bangalore"/>
    <x v="2"/>
    <s v="Commission"/>
    <s v="Credit Card"/>
    <n v="252493"/>
    <x v="192"/>
    <s v="Anita"/>
    <s v="Q2"/>
    <x v="1"/>
    <s v="C724"/>
  </r>
  <r>
    <s v="T10193"/>
    <s v="2021-10-16"/>
    <s v="East"/>
    <s v="Bhubaneswar"/>
    <x v="2"/>
    <s v="Sales"/>
    <s v="Credit Card"/>
    <n v="101381"/>
    <x v="193"/>
    <s v="Karan"/>
    <s v="Q4"/>
    <x v="0"/>
    <s v="C419"/>
  </r>
  <r>
    <s v="T10194"/>
    <s v="2021-08-16"/>
    <s v="East"/>
    <s v="Bhubaneswar"/>
    <x v="2"/>
    <s v="Service"/>
    <s v="Cash"/>
    <n v="28020"/>
    <x v="194"/>
    <s v="Meera"/>
    <s v="Q3"/>
    <x v="0"/>
    <s v="C844"/>
  </r>
  <r>
    <s v="T10195"/>
    <s v="2025-01-20"/>
    <s v="South"/>
    <s v="Bangalore"/>
    <x v="3"/>
    <s v="Loan Repayment"/>
    <s v="Cash"/>
    <n v="426636"/>
    <x v="195"/>
    <s v="David"/>
    <s v="Q1"/>
    <x v="4"/>
    <s v="C307"/>
  </r>
  <r>
    <s v="T10196"/>
    <s v="2021-08-13"/>
    <s v="West"/>
    <s v="Pune"/>
    <x v="2"/>
    <s v="Commission"/>
    <s v="Credit Card"/>
    <n v="78679"/>
    <x v="196"/>
    <s v="Priya"/>
    <s v="Q3"/>
    <x v="0"/>
    <s v="C475"/>
  </r>
  <r>
    <s v="T10197"/>
    <s v="2022-04-19"/>
    <s v="West"/>
    <s v="Pune"/>
    <x v="0"/>
    <s v="Utilities"/>
    <s v="Credit Card"/>
    <n v="131728"/>
    <x v="197"/>
    <s v="Sneha"/>
    <s v="Q2"/>
    <x v="1"/>
    <s v="C137"/>
  </r>
  <r>
    <s v="T10198"/>
    <s v="2023-11-17"/>
    <s v="South"/>
    <s v="Coimbatore"/>
    <x v="1"/>
    <s v="Mutual Funds"/>
    <s v="Credit Card"/>
    <n v="189061"/>
    <x v="198"/>
    <s v="Sneha"/>
    <s v="Q4"/>
    <x v="3"/>
    <s v="C197"/>
  </r>
  <r>
    <s v="T10199"/>
    <s v="2025-03-27"/>
    <s v="North"/>
    <s v="Chandigarh"/>
    <x v="0"/>
    <s v="Travel"/>
    <s v="Credit Card"/>
    <n v="106173"/>
    <x v="199"/>
    <s v="Meera"/>
    <s v="Q1"/>
    <x v="4"/>
    <s v="C481"/>
  </r>
  <r>
    <s v="T10200"/>
    <s v="2022-01-27"/>
    <s v="South"/>
    <s v="Bangalore"/>
    <x v="2"/>
    <s v="Sales"/>
    <s v="UPI"/>
    <n v="181773"/>
    <x v="200"/>
    <s v="Ravi"/>
    <s v="Q1"/>
    <x v="1"/>
    <s v="C343"/>
  </r>
  <r>
    <s v="T10201"/>
    <s v="2023-08-01"/>
    <s v="North"/>
    <s v="Lucknow"/>
    <x v="0"/>
    <s v="Marketing"/>
    <s v="Cash"/>
    <n v="20494"/>
    <x v="201"/>
    <s v="Meera"/>
    <s v="Q3"/>
    <x v="3"/>
    <s v="C383"/>
  </r>
  <r>
    <s v="T10202"/>
    <s v="2022-04-29"/>
    <s v="North"/>
    <s v="Lucknow"/>
    <x v="0"/>
    <s v="Office Supplies"/>
    <s v="Credit Card"/>
    <n v="92033"/>
    <x v="202"/>
    <s v="Arun"/>
    <s v="Q2"/>
    <x v="1"/>
    <s v="C240"/>
  </r>
  <r>
    <s v="T10203"/>
    <s v="2024-11-24"/>
    <s v="West"/>
    <s v="Mumbai"/>
    <x v="0"/>
    <s v="Utilities"/>
    <s v="Cash"/>
    <n v="61537"/>
    <x v="203"/>
    <s v="Priya"/>
    <s v="Q4"/>
    <x v="2"/>
    <s v="C288"/>
  </r>
  <r>
    <s v="T10204"/>
    <s v="2024-05-01"/>
    <s v="East"/>
    <s v="Agartala"/>
    <x v="2"/>
    <s v="Commission"/>
    <s v="UPI"/>
    <n v="188700"/>
    <x v="204"/>
    <s v="Priya"/>
    <s v="Q2"/>
    <x v="2"/>
    <s v="C127"/>
  </r>
  <r>
    <s v="T10205"/>
    <s v="2025-12-01"/>
    <s v="West"/>
    <s v="Pune"/>
    <x v="2"/>
    <s v="Commission"/>
    <s v="UPI"/>
    <n v="100011"/>
    <x v="205"/>
    <s v="Sneha"/>
    <s v="Q4"/>
    <x v="4"/>
    <s v="C987"/>
  </r>
  <r>
    <s v="T10206"/>
    <s v="2022-07-11"/>
    <s v="South"/>
    <s v="Coimbatore"/>
    <x v="1"/>
    <s v="FD"/>
    <s v="UPI"/>
    <n v="558314"/>
    <x v="206"/>
    <s v="Meera"/>
    <s v="Q3"/>
    <x v="1"/>
    <s v="C776"/>
  </r>
  <r>
    <s v="T10207"/>
    <s v="2025-05-13"/>
    <s v="East"/>
    <s v="Bhubaneswar"/>
    <x v="0"/>
    <s v="Salary"/>
    <s v="Bank Transfer"/>
    <n v="79907"/>
    <x v="207"/>
    <s v="David"/>
    <s v="Q2"/>
    <x v="4"/>
    <s v="C870"/>
  </r>
  <r>
    <s v="T10208"/>
    <s v="2021-06-21"/>
    <s v="South"/>
    <s v="Chennai"/>
    <x v="2"/>
    <s v="Sales"/>
    <s v="Credit Card"/>
    <n v="49553"/>
    <x v="208"/>
    <s v="Priya"/>
    <s v="Q2"/>
    <x v="0"/>
    <s v="C656"/>
  </r>
  <r>
    <s v="T10209"/>
    <s v="2022-11-08"/>
    <s v="South"/>
    <s v="Chennai"/>
    <x v="3"/>
    <s v="Loan Disbursement"/>
    <s v="Credit Card"/>
    <n v="412830"/>
    <x v="209"/>
    <s v="Karan"/>
    <s v="Q4"/>
    <x v="1"/>
    <s v="C712"/>
  </r>
  <r>
    <s v="T10210"/>
    <s v="2023-07-27"/>
    <s v="South"/>
    <s v="Coimbatore"/>
    <x v="2"/>
    <s v="Service"/>
    <s v="Cash"/>
    <n v="109088"/>
    <x v="210"/>
    <s v="Ravi"/>
    <s v="Q3"/>
    <x v="3"/>
    <s v="C729"/>
  </r>
  <r>
    <s v="T10211"/>
    <s v="2021-06-21"/>
    <s v="East"/>
    <s v="Kolkata"/>
    <x v="2"/>
    <s v="Service"/>
    <s v="UPI"/>
    <n v="216887"/>
    <x v="211"/>
    <s v="David"/>
    <s v="Q2"/>
    <x v="0"/>
    <s v="C292"/>
  </r>
  <r>
    <s v="T10212"/>
    <s v="2025-04-23"/>
    <s v="North"/>
    <s v="Lucknow"/>
    <x v="2"/>
    <s v="Sales"/>
    <s v="Credit Card"/>
    <n v="32195"/>
    <x v="212"/>
    <s v="Anita"/>
    <s v="Q2"/>
    <x v="4"/>
    <s v="C357"/>
  </r>
  <r>
    <s v="T10213"/>
    <s v="2022-09-22"/>
    <s v="East"/>
    <s v="Kolkata"/>
    <x v="0"/>
    <s v="Utilities"/>
    <s v="Credit Card"/>
    <n v="29342"/>
    <x v="213"/>
    <s v="Priya"/>
    <s v="Q3"/>
    <x v="1"/>
    <s v="C553"/>
  </r>
  <r>
    <s v="T10214"/>
    <s v="2021-03-18"/>
    <s v="East"/>
    <s v="Agartala"/>
    <x v="3"/>
    <s v="Loan Repayment"/>
    <s v="Credit Card"/>
    <n v="205998"/>
    <x v="214"/>
    <s v="Arun"/>
    <s v="Q1"/>
    <x v="0"/>
    <s v="C432"/>
  </r>
  <r>
    <s v="T10215"/>
    <s v="2023-10-28"/>
    <s v="East"/>
    <s v="Agartala"/>
    <x v="0"/>
    <s v="Salary"/>
    <s v="UPI"/>
    <n v="192547"/>
    <x v="215"/>
    <s v="Karan"/>
    <s v="Q4"/>
    <x v="3"/>
    <s v="C636"/>
  </r>
  <r>
    <s v="T10216"/>
    <s v="2021-03-09"/>
    <s v="South"/>
    <s v="Bangalore"/>
    <x v="0"/>
    <s v="Salary"/>
    <s v="UPI"/>
    <n v="77530"/>
    <x v="216"/>
    <s v="Anita"/>
    <s v="Q1"/>
    <x v="0"/>
    <s v="C985"/>
  </r>
  <r>
    <s v="T10217"/>
    <s v="2024-02-01"/>
    <s v="East"/>
    <s v="Bhubaneswar"/>
    <x v="2"/>
    <s v="Service"/>
    <s v="UPI"/>
    <n v="185794"/>
    <x v="217"/>
    <s v="Sneha"/>
    <s v="Q1"/>
    <x v="2"/>
    <s v="C597"/>
  </r>
  <r>
    <s v="T10218"/>
    <s v="2023-10-21"/>
    <s v="East"/>
    <s v="Kolkata"/>
    <x v="2"/>
    <s v="Commission"/>
    <s v="Credit Card"/>
    <n v="191139"/>
    <x v="218"/>
    <s v="David"/>
    <s v="Q4"/>
    <x v="3"/>
    <s v="C404"/>
  </r>
  <r>
    <s v="T10219"/>
    <s v="2022-10-12"/>
    <s v="South"/>
    <s v="Coimbatore"/>
    <x v="2"/>
    <s v="Subscription"/>
    <s v="Credit Card"/>
    <n v="132655"/>
    <x v="219"/>
    <s v="Sneha"/>
    <s v="Q4"/>
    <x v="1"/>
    <s v="C780"/>
  </r>
  <r>
    <s v="T10220"/>
    <s v="2022-10-21"/>
    <s v="South"/>
    <s v="Coimbatore"/>
    <x v="0"/>
    <s v="Office Supplies"/>
    <s v="Bank Transfer"/>
    <n v="85234"/>
    <x v="220"/>
    <s v="Meera"/>
    <s v="Q4"/>
    <x v="1"/>
    <s v="C138"/>
  </r>
  <r>
    <s v="T10221"/>
    <s v="2022-11-24"/>
    <s v="North"/>
    <s v="Chandigarh"/>
    <x v="1"/>
    <s v="FD"/>
    <s v="Credit Card"/>
    <n v="998756"/>
    <x v="221"/>
    <s v="Karan"/>
    <s v="Q4"/>
    <x v="1"/>
    <s v="C127"/>
  </r>
  <r>
    <s v="T10222"/>
    <s v="2022-02-23"/>
    <s v="West"/>
    <s v="Ahmedabad"/>
    <x v="0"/>
    <s v="Travel"/>
    <s v="UPI"/>
    <n v="25308"/>
    <x v="222"/>
    <s v="Arun"/>
    <s v="Q1"/>
    <x v="1"/>
    <s v="C281"/>
  </r>
  <r>
    <s v="T10223"/>
    <s v="2022-12-29"/>
    <s v="East"/>
    <s v="Agartala"/>
    <x v="2"/>
    <s v="Subscription"/>
    <s v="Credit Card"/>
    <n v="60199"/>
    <x v="223"/>
    <s v="Anita"/>
    <s v="Q4"/>
    <x v="1"/>
    <s v="C316"/>
  </r>
  <r>
    <s v="T10224"/>
    <s v="2025-10-24"/>
    <s v="North"/>
    <s v="Lucknow"/>
    <x v="0"/>
    <s v="Utilities"/>
    <s v="Credit Card"/>
    <n v="117298"/>
    <x v="224"/>
    <s v="David"/>
    <s v="Q4"/>
    <x v="4"/>
    <s v="C674"/>
  </r>
  <r>
    <s v="T10225"/>
    <s v="2023-03-18"/>
    <s v="South"/>
    <s v="Bangalore"/>
    <x v="0"/>
    <s v="Travel"/>
    <s v="UPI"/>
    <n v="109167"/>
    <x v="225"/>
    <s v="Ravi"/>
    <s v="Q1"/>
    <x v="3"/>
    <s v="C532"/>
  </r>
  <r>
    <s v="T10226"/>
    <s v="2021-05-13"/>
    <s v="North"/>
    <s v="Lucknow"/>
    <x v="0"/>
    <s v="Utilities"/>
    <s v="UPI"/>
    <n v="117748"/>
    <x v="226"/>
    <s v="Karan"/>
    <s v="Q2"/>
    <x v="0"/>
    <s v="C117"/>
  </r>
  <r>
    <s v="T10227"/>
    <s v="2024-05-27"/>
    <s v="South"/>
    <s v="Bangalore"/>
    <x v="2"/>
    <s v="Subscription"/>
    <s v="UPI"/>
    <n v="210022"/>
    <x v="227"/>
    <s v="Sneha"/>
    <s v="Q2"/>
    <x v="2"/>
    <s v="C931"/>
  </r>
  <r>
    <s v="T10228"/>
    <s v="2025-04-27"/>
    <s v="East"/>
    <s v="Kolkata"/>
    <x v="2"/>
    <s v="Subscription"/>
    <s v="UPI"/>
    <n v="222777"/>
    <x v="228"/>
    <s v="Priya"/>
    <s v="Q2"/>
    <x v="4"/>
    <s v="C747"/>
  </r>
  <r>
    <s v="T10229"/>
    <s v="2024-08-11"/>
    <s v="North"/>
    <s v="Chandigarh"/>
    <x v="2"/>
    <s v="Commission"/>
    <s v="Bank Transfer"/>
    <n v="20844"/>
    <x v="229"/>
    <s v="Ravi"/>
    <s v="Q3"/>
    <x v="2"/>
    <s v="C622"/>
  </r>
  <r>
    <s v="T10230"/>
    <s v="2023-10-17"/>
    <s v="West"/>
    <s v="Pune"/>
    <x v="0"/>
    <s v="Office Supplies"/>
    <s v="Credit Card"/>
    <n v="69986"/>
    <x v="230"/>
    <s v="Priya"/>
    <s v="Q4"/>
    <x v="3"/>
    <s v="C697"/>
  </r>
  <r>
    <s v="T10231"/>
    <s v="2023-09-18"/>
    <s v="East"/>
    <s v="Kolkata"/>
    <x v="2"/>
    <s v="Service"/>
    <s v="Credit Card"/>
    <n v="253979"/>
    <x v="231"/>
    <s v="Meera"/>
    <s v="Q3"/>
    <x v="3"/>
    <s v="C506"/>
  </r>
  <r>
    <s v="T10232"/>
    <s v="2024-06-25"/>
    <s v="North"/>
    <s v="Lucknow"/>
    <x v="2"/>
    <s v="Subscription"/>
    <s v="Bank Transfer"/>
    <n v="80576"/>
    <x v="232"/>
    <s v="Arun"/>
    <s v="Q2"/>
    <x v="2"/>
    <s v="C401"/>
  </r>
  <r>
    <s v="T10233"/>
    <s v="2022-07-06"/>
    <s v="West"/>
    <s v="Pune"/>
    <x v="0"/>
    <s v="Utilities"/>
    <s v="Bank Transfer"/>
    <n v="95442"/>
    <x v="233"/>
    <s v="Priya"/>
    <s v="Q3"/>
    <x v="1"/>
    <s v="C636"/>
  </r>
  <r>
    <s v="T10234"/>
    <s v="2024-12-30"/>
    <s v="North"/>
    <s v="Chandigarh"/>
    <x v="0"/>
    <s v="Travel"/>
    <s v="Credit Card"/>
    <n v="49366"/>
    <x v="234"/>
    <s v="Ravi"/>
    <s v="Q4"/>
    <x v="2"/>
    <s v="C911"/>
  </r>
  <r>
    <s v="T10235"/>
    <s v="2025-07-15"/>
    <s v="South"/>
    <s v="Chennai"/>
    <x v="1"/>
    <s v="Bonds"/>
    <s v="Bank Transfer"/>
    <n v="198716"/>
    <x v="235"/>
    <s v="Priya"/>
    <s v="Q3"/>
    <x v="4"/>
    <s v="C249"/>
  </r>
  <r>
    <s v="T10236"/>
    <s v="2022-10-16"/>
    <s v="North"/>
    <s v="Chandigarh"/>
    <x v="2"/>
    <s v="Service"/>
    <s v="Credit Card"/>
    <n v="123250"/>
    <x v="236"/>
    <s v="Ravi"/>
    <s v="Q4"/>
    <x v="1"/>
    <s v="C550"/>
  </r>
  <r>
    <s v="T10237"/>
    <s v="2022-09-25"/>
    <s v="East"/>
    <s v="Kolkata"/>
    <x v="2"/>
    <s v="Service"/>
    <s v="Bank Transfer"/>
    <n v="186836"/>
    <x v="237"/>
    <s v="Anita"/>
    <s v="Q3"/>
    <x v="1"/>
    <s v="C684"/>
  </r>
  <r>
    <s v="T10238"/>
    <s v="2021-09-09"/>
    <s v="North"/>
    <s v="Chandigarh"/>
    <x v="3"/>
    <s v="Loan Disbursement"/>
    <s v="Bank Transfer"/>
    <n v="352186"/>
    <x v="238"/>
    <s v="Sneha"/>
    <s v="Q3"/>
    <x v="0"/>
    <s v="C372"/>
  </r>
  <r>
    <s v="T10239"/>
    <s v="2024-09-01"/>
    <s v="East"/>
    <s v="Kolkata"/>
    <x v="0"/>
    <s v="Salary"/>
    <s v="Cash"/>
    <n v="109794"/>
    <x v="239"/>
    <s v="Karan"/>
    <s v="Q3"/>
    <x v="2"/>
    <s v="C940"/>
  </r>
  <r>
    <s v="T10240"/>
    <s v="2021-10-07"/>
    <s v="West"/>
    <s v="Ahmedabad"/>
    <x v="2"/>
    <s v="Sales"/>
    <s v="Cash"/>
    <n v="39278"/>
    <x v="240"/>
    <s v="Anita"/>
    <s v="Q4"/>
    <x v="0"/>
    <s v="C753"/>
  </r>
  <r>
    <s v="T10241"/>
    <s v="2025-08-17"/>
    <s v="South"/>
    <s v="Chennai"/>
    <x v="2"/>
    <s v="Sales"/>
    <s v="Credit Card"/>
    <n v="192642"/>
    <x v="241"/>
    <s v="David"/>
    <s v="Q3"/>
    <x v="4"/>
    <s v="C363"/>
  </r>
  <r>
    <s v="T10242"/>
    <s v="2022-07-11"/>
    <s v="North"/>
    <s v="Chandigarh"/>
    <x v="3"/>
    <s v="Loan Repayment"/>
    <s v="Cash"/>
    <n v="282993"/>
    <x v="242"/>
    <s v="Meera"/>
    <s v="Q3"/>
    <x v="1"/>
    <s v="C685"/>
  </r>
  <r>
    <s v="T10243"/>
    <s v="2025-01-21"/>
    <s v="North"/>
    <s v="Lucknow"/>
    <x v="0"/>
    <s v="Office Supplies"/>
    <s v="Cash"/>
    <n v="98670"/>
    <x v="243"/>
    <s v="Karan"/>
    <s v="Q1"/>
    <x v="4"/>
    <s v="C245"/>
  </r>
  <r>
    <s v="T10244"/>
    <s v="2024-07-29"/>
    <s v="West"/>
    <s v="Mumbai"/>
    <x v="2"/>
    <s v="Subscription"/>
    <s v="Credit Card"/>
    <n v="221840"/>
    <x v="244"/>
    <s v="Anita"/>
    <s v="Q3"/>
    <x v="2"/>
    <s v="C730"/>
  </r>
  <r>
    <s v="T10245"/>
    <s v="2024-05-15"/>
    <s v="East"/>
    <s v="Bhubaneswar"/>
    <x v="2"/>
    <s v="Commission"/>
    <s v="Credit Card"/>
    <n v="186488"/>
    <x v="245"/>
    <s v="David"/>
    <s v="Q2"/>
    <x v="2"/>
    <s v="C597"/>
  </r>
  <r>
    <s v="T10246"/>
    <s v="2023-11-29"/>
    <s v="North"/>
    <s v="Lucknow"/>
    <x v="2"/>
    <s v="Subscription"/>
    <s v="Credit Card"/>
    <n v="146506"/>
    <x v="246"/>
    <s v="Priya"/>
    <s v="Q4"/>
    <x v="3"/>
    <s v="C380"/>
  </r>
  <r>
    <s v="T10247"/>
    <s v="2025-08-04"/>
    <s v="South"/>
    <s v="Chennai"/>
    <x v="1"/>
    <s v="FD"/>
    <s v="Bank Transfer"/>
    <n v="99134"/>
    <x v="247"/>
    <s v="Karan"/>
    <s v="Q3"/>
    <x v="4"/>
    <s v="C977"/>
  </r>
  <r>
    <s v="T10248"/>
    <s v="2022-12-09"/>
    <s v="South"/>
    <s v="Bangalore"/>
    <x v="2"/>
    <s v="Commission"/>
    <s v="Credit Card"/>
    <n v="49274"/>
    <x v="248"/>
    <s v="Meera"/>
    <s v="Q4"/>
    <x v="1"/>
    <s v="C305"/>
  </r>
  <r>
    <s v="T10249"/>
    <s v="2025-11-09"/>
    <s v="South"/>
    <s v="Bangalore"/>
    <x v="2"/>
    <s v="Service"/>
    <s v="Credit Card"/>
    <n v="284832"/>
    <x v="249"/>
    <s v="Sneha"/>
    <s v="Q4"/>
    <x v="4"/>
    <s v="C141"/>
  </r>
  <r>
    <s v="T10250"/>
    <s v="2021-12-21"/>
    <s v="East"/>
    <s v="Agartala"/>
    <x v="0"/>
    <s v="Office Supplies"/>
    <s v="Credit Card"/>
    <n v="119443"/>
    <x v="250"/>
    <s v="Anita"/>
    <s v="Q4"/>
    <x v="0"/>
    <s v="C961"/>
  </r>
  <r>
    <s v="T10251"/>
    <s v="2024-04-20"/>
    <s v="West"/>
    <s v="Ahmedabad"/>
    <x v="0"/>
    <s v="Salary"/>
    <s v="UPI"/>
    <n v="149741"/>
    <x v="251"/>
    <s v="Arun"/>
    <s v="Q2"/>
    <x v="2"/>
    <s v="C979"/>
  </r>
  <r>
    <s v="T10252"/>
    <s v="2023-06-12"/>
    <s v="West"/>
    <s v="Mumbai"/>
    <x v="2"/>
    <s v="Service"/>
    <s v="UPI"/>
    <n v="119530"/>
    <x v="252"/>
    <s v="Meera"/>
    <s v="Q2"/>
    <x v="3"/>
    <s v="C819"/>
  </r>
  <r>
    <s v="T10253"/>
    <s v="2024-12-18"/>
    <s v="South"/>
    <s v="Bangalore"/>
    <x v="2"/>
    <s v="Service"/>
    <s v="UPI"/>
    <n v="128328"/>
    <x v="253"/>
    <s v="David"/>
    <s v="Q4"/>
    <x v="2"/>
    <s v="C739"/>
  </r>
  <r>
    <s v="T10254"/>
    <s v="2025-03-09"/>
    <s v="North"/>
    <s v="Lucknow"/>
    <x v="1"/>
    <s v="Stocks"/>
    <s v="UPI"/>
    <n v="424639"/>
    <x v="254"/>
    <s v="Meera"/>
    <s v="Q1"/>
    <x v="4"/>
    <s v="C583"/>
  </r>
  <r>
    <s v="T10255"/>
    <s v="2025-08-27"/>
    <s v="South"/>
    <s v="Chennai"/>
    <x v="2"/>
    <s v="Sales"/>
    <s v="Bank Transfer"/>
    <n v="104794"/>
    <x v="255"/>
    <s v="Arun"/>
    <s v="Q3"/>
    <x v="4"/>
    <s v="C430"/>
  </r>
  <r>
    <s v="T10256"/>
    <s v="2022-01-02"/>
    <s v="West"/>
    <s v="Ahmedabad"/>
    <x v="0"/>
    <s v="Salary"/>
    <s v="Credit Card"/>
    <n v="37906"/>
    <x v="256"/>
    <s v="David"/>
    <s v="Q1"/>
    <x v="1"/>
    <s v="C171"/>
  </r>
  <r>
    <s v="T10257"/>
    <s v="2021-06-20"/>
    <s v="East"/>
    <s v="Kolkata"/>
    <x v="0"/>
    <s v="Travel"/>
    <s v="Cash"/>
    <n v="6976"/>
    <x v="257"/>
    <s v="Arun"/>
    <s v="Q2"/>
    <x v="0"/>
    <s v="C126"/>
  </r>
  <r>
    <s v="T10258"/>
    <s v="2023-05-21"/>
    <s v="North"/>
    <s v="Lucknow"/>
    <x v="2"/>
    <s v="Subscription"/>
    <s v="Bank Transfer"/>
    <n v="151933"/>
    <x v="258"/>
    <s v="Karan"/>
    <s v="Q2"/>
    <x v="3"/>
    <s v="C682"/>
  </r>
  <r>
    <s v="T10259"/>
    <s v="2021-10-03"/>
    <s v="West"/>
    <s v="Ahmedabad"/>
    <x v="0"/>
    <s v="Utilities"/>
    <s v="Bank Transfer"/>
    <n v="79231"/>
    <x v="259"/>
    <s v="Ravi"/>
    <s v="Q4"/>
    <x v="0"/>
    <s v="C156"/>
  </r>
  <r>
    <s v="T10260"/>
    <s v="2023-10-16"/>
    <s v="North"/>
    <s v="Delhi"/>
    <x v="1"/>
    <s v="Bonds"/>
    <s v="UPI"/>
    <n v="928464"/>
    <x v="260"/>
    <s v="Meera"/>
    <s v="Q4"/>
    <x v="3"/>
    <s v="C308"/>
  </r>
  <r>
    <s v="T10261"/>
    <s v="2025-04-01"/>
    <s v="South"/>
    <s v="Coimbatore"/>
    <x v="2"/>
    <s v="Subscription"/>
    <s v="UPI"/>
    <n v="248165"/>
    <x v="261"/>
    <s v="Arun"/>
    <s v="Q2"/>
    <x v="4"/>
    <s v="C775"/>
  </r>
  <r>
    <s v="T10262"/>
    <s v="2021-04-11"/>
    <s v="South"/>
    <s v="Bangalore"/>
    <x v="2"/>
    <s v="Subscription"/>
    <s v="Credit Card"/>
    <n v="162836"/>
    <x v="262"/>
    <s v="Anita"/>
    <s v="Q2"/>
    <x v="0"/>
    <s v="C609"/>
  </r>
  <r>
    <s v="T10263"/>
    <s v="2024-07-13"/>
    <s v="East"/>
    <s v="Agartala"/>
    <x v="2"/>
    <s v="Service"/>
    <s v="UPI"/>
    <n v="216107"/>
    <x v="263"/>
    <s v="Arun"/>
    <s v="Q3"/>
    <x v="2"/>
    <s v="C576"/>
  </r>
  <r>
    <s v="T10264"/>
    <s v="2024-12-09"/>
    <s v="South"/>
    <s v="Coimbatore"/>
    <x v="2"/>
    <s v="Commission"/>
    <s v="Credit Card"/>
    <n v="49374"/>
    <x v="264"/>
    <s v="Anita"/>
    <s v="Q4"/>
    <x v="2"/>
    <s v="C994"/>
  </r>
  <r>
    <s v="T10265"/>
    <s v="2023-10-12"/>
    <s v="South"/>
    <s v="Chennai"/>
    <x v="0"/>
    <s v="Travel"/>
    <s v="Credit Card"/>
    <n v="112433"/>
    <x v="265"/>
    <s v="Arun"/>
    <s v="Q4"/>
    <x v="3"/>
    <s v="C907"/>
  </r>
  <r>
    <s v="T10266"/>
    <s v="2022-03-21"/>
    <s v="South"/>
    <s v="Chennai"/>
    <x v="3"/>
    <s v="Loan Repayment"/>
    <s v="Credit Card"/>
    <n v="37101"/>
    <x v="266"/>
    <s v="Arun"/>
    <s v="Q1"/>
    <x v="1"/>
    <s v="C883"/>
  </r>
  <r>
    <s v="T10267"/>
    <s v="2022-04-08"/>
    <s v="East"/>
    <s v="Bhubaneswar"/>
    <x v="0"/>
    <s v="Travel"/>
    <s v="Cash"/>
    <n v="16058"/>
    <x v="267"/>
    <s v="David"/>
    <s v="Q2"/>
    <x v="1"/>
    <s v="C724"/>
  </r>
  <r>
    <s v="T10268"/>
    <s v="2022-12-05"/>
    <s v="South"/>
    <s v="Chennai"/>
    <x v="2"/>
    <s v="Service"/>
    <s v="Credit Card"/>
    <n v="270027"/>
    <x v="268"/>
    <s v="Anita"/>
    <s v="Q4"/>
    <x v="1"/>
    <s v="C128"/>
  </r>
  <r>
    <s v="T10269"/>
    <s v="2023-05-22"/>
    <s v="North"/>
    <s v="Chandigarh"/>
    <x v="2"/>
    <s v="Subscription"/>
    <s v="UPI"/>
    <n v="93695"/>
    <x v="269"/>
    <s v="Anita"/>
    <s v="Q2"/>
    <x v="3"/>
    <s v="C443"/>
  </r>
  <r>
    <s v="T10270"/>
    <s v="2025-11-01"/>
    <s v="East"/>
    <s v="Agartala"/>
    <x v="0"/>
    <s v="Office Supplies"/>
    <s v="Credit Card"/>
    <n v="115056"/>
    <x v="270"/>
    <s v="Sneha"/>
    <s v="Q4"/>
    <x v="4"/>
    <s v="C850"/>
  </r>
  <r>
    <s v="T10271"/>
    <s v="2024-12-22"/>
    <s v="West"/>
    <s v="Ahmedabad"/>
    <x v="0"/>
    <s v="Utilities"/>
    <s v="Bank Transfer"/>
    <n v="128400"/>
    <x v="271"/>
    <s v="Sneha"/>
    <s v="Q4"/>
    <x v="2"/>
    <s v="C497"/>
  </r>
  <r>
    <s v="T10272"/>
    <s v="2025-09-09"/>
    <s v="West"/>
    <s v="Ahmedabad"/>
    <x v="0"/>
    <s v="Utilities"/>
    <s v="Credit Card"/>
    <n v="165959"/>
    <x v="272"/>
    <s v="Meera"/>
    <s v="Q3"/>
    <x v="4"/>
    <s v="C194"/>
  </r>
  <r>
    <s v="T10273"/>
    <s v="2022-07-17"/>
    <s v="South"/>
    <s v="Chennai"/>
    <x v="0"/>
    <s v="Salary"/>
    <s v="Credit Card"/>
    <n v="32479"/>
    <x v="273"/>
    <s v="Meera"/>
    <s v="Q3"/>
    <x v="1"/>
    <s v="C499"/>
  </r>
  <r>
    <s v="T10274"/>
    <s v="2021-06-23"/>
    <s v="East"/>
    <s v="Bhubaneswar"/>
    <x v="2"/>
    <s v="Subscription"/>
    <s v="Bank Transfer"/>
    <n v="70989"/>
    <x v="274"/>
    <s v="Ravi"/>
    <s v="Q2"/>
    <x v="0"/>
    <s v="C116"/>
  </r>
  <r>
    <s v="T10275"/>
    <s v="2024-07-24"/>
    <s v="South"/>
    <s v="Bangalore"/>
    <x v="2"/>
    <s v="Commission"/>
    <s v="Cash"/>
    <n v="176373"/>
    <x v="275"/>
    <s v="Sneha"/>
    <s v="Q3"/>
    <x v="2"/>
    <s v="C701"/>
  </r>
  <r>
    <s v="T10276"/>
    <s v="2022-02-09"/>
    <s v="West"/>
    <s v="Ahmedabad"/>
    <x v="0"/>
    <s v="Office Supplies"/>
    <s v="Bank Transfer"/>
    <n v="121838"/>
    <x v="276"/>
    <s v="Sneha"/>
    <s v="Q1"/>
    <x v="1"/>
    <s v="C210"/>
  </r>
  <r>
    <s v="T10277"/>
    <s v="2023-07-26"/>
    <s v="North"/>
    <s v="Lucknow"/>
    <x v="0"/>
    <s v="Utilities"/>
    <s v="Bank Transfer"/>
    <n v="103166"/>
    <x v="277"/>
    <s v="Sneha"/>
    <s v="Q3"/>
    <x v="3"/>
    <s v="C789"/>
  </r>
  <r>
    <s v="T10278"/>
    <s v="2025-03-08"/>
    <s v="West"/>
    <s v="Ahmedabad"/>
    <x v="0"/>
    <s v="Salary"/>
    <s v="Credit Card"/>
    <n v="135674"/>
    <x v="278"/>
    <s v="Karan"/>
    <s v="Q1"/>
    <x v="4"/>
    <s v="C885"/>
  </r>
  <r>
    <s v="T10279"/>
    <s v="2022-08-09"/>
    <s v="North"/>
    <s v="Chandigarh"/>
    <x v="0"/>
    <s v="Utilities"/>
    <s v="Bank Transfer"/>
    <n v="14056"/>
    <x v="279"/>
    <s v="Sneha"/>
    <s v="Q3"/>
    <x v="1"/>
    <s v="C224"/>
  </r>
  <r>
    <s v="T10280"/>
    <s v="2023-06-30"/>
    <s v="West"/>
    <s v="Ahmedabad"/>
    <x v="2"/>
    <s v="Commission"/>
    <s v="Cash"/>
    <n v="298014"/>
    <x v="280"/>
    <s v="David"/>
    <s v="Q2"/>
    <x v="3"/>
    <s v="C963"/>
  </r>
  <r>
    <s v="T10281"/>
    <s v="2022-04-12"/>
    <s v="South"/>
    <s v="Chennai"/>
    <x v="3"/>
    <s v="Loan Repayment"/>
    <s v="Credit Card"/>
    <n v="139844"/>
    <x v="281"/>
    <s v="Anita"/>
    <s v="Q2"/>
    <x v="1"/>
    <s v="C708"/>
  </r>
  <r>
    <s v="T10282"/>
    <s v="2025-05-31"/>
    <s v="West"/>
    <s v="Pune"/>
    <x v="0"/>
    <s v="Utilities"/>
    <s v="Credit Card"/>
    <n v="196157"/>
    <x v="282"/>
    <s v="Priya"/>
    <s v="Q2"/>
    <x v="4"/>
    <s v="C803"/>
  </r>
  <r>
    <s v="T10283"/>
    <s v="2023-05-16"/>
    <s v="North"/>
    <s v="Lucknow"/>
    <x v="0"/>
    <s v="Travel"/>
    <s v="UPI"/>
    <n v="100624"/>
    <x v="283"/>
    <s v="Priya"/>
    <s v="Q2"/>
    <x v="3"/>
    <s v="C843"/>
  </r>
  <r>
    <s v="T10284"/>
    <s v="2025-11-27"/>
    <s v="South"/>
    <s v="Bangalore"/>
    <x v="1"/>
    <s v="Stocks"/>
    <s v="UPI"/>
    <n v="407444"/>
    <x v="284"/>
    <s v="Sneha"/>
    <s v="Q4"/>
    <x v="4"/>
    <s v="C407"/>
  </r>
  <r>
    <s v="T10285"/>
    <s v="2023-06-01"/>
    <s v="North"/>
    <s v="Chandigarh"/>
    <x v="2"/>
    <s v="Commission"/>
    <s v="UPI"/>
    <n v="20565"/>
    <x v="285"/>
    <s v="David"/>
    <s v="Q2"/>
    <x v="3"/>
    <s v="C565"/>
  </r>
  <r>
    <s v="T10286"/>
    <s v="2025-08-05"/>
    <s v="West"/>
    <s v="Ahmedabad"/>
    <x v="0"/>
    <s v="Office Supplies"/>
    <s v="Cash"/>
    <n v="71923"/>
    <x v="286"/>
    <s v="David"/>
    <s v="Q3"/>
    <x v="4"/>
    <s v="C955"/>
  </r>
  <r>
    <s v="T10287"/>
    <s v="2021-03-14"/>
    <s v="West"/>
    <s v="Pune"/>
    <x v="2"/>
    <s v="Commission"/>
    <s v="UPI"/>
    <n v="159766"/>
    <x v="287"/>
    <s v="Priya"/>
    <s v="Q1"/>
    <x v="0"/>
    <s v="C544"/>
  </r>
  <r>
    <s v="T10288"/>
    <s v="2023-03-14"/>
    <s v="West"/>
    <s v="Ahmedabad"/>
    <x v="0"/>
    <s v="Marketing"/>
    <s v="UPI"/>
    <n v="26252"/>
    <x v="288"/>
    <s v="Arun"/>
    <s v="Q1"/>
    <x v="3"/>
    <s v="C311"/>
  </r>
  <r>
    <s v="T10289"/>
    <s v="2022-07-18"/>
    <s v="West"/>
    <s v="Pune"/>
    <x v="0"/>
    <s v="Salary"/>
    <s v="Cash"/>
    <n v="147152"/>
    <x v="289"/>
    <s v="Meera"/>
    <s v="Q3"/>
    <x v="1"/>
    <s v="C601"/>
  </r>
  <r>
    <s v="T10290"/>
    <s v="2022-04-25"/>
    <s v="South"/>
    <s v="Coimbatore"/>
    <x v="2"/>
    <s v="Commission"/>
    <s v="Cash"/>
    <n v="239106"/>
    <x v="290"/>
    <s v="Arun"/>
    <s v="Q2"/>
    <x v="1"/>
    <s v="C365"/>
  </r>
  <r>
    <s v="T10291"/>
    <s v="2023-02-22"/>
    <s v="North"/>
    <s v="Delhi"/>
    <x v="2"/>
    <s v="Service"/>
    <s v="Bank Transfer"/>
    <n v="85153"/>
    <x v="291"/>
    <s v="Priya"/>
    <s v="Q1"/>
    <x v="3"/>
    <s v="C713"/>
  </r>
  <r>
    <s v="T10292"/>
    <s v="2025-09-13"/>
    <s v="South"/>
    <s v="Bangalore"/>
    <x v="2"/>
    <s v="Commission"/>
    <s v="Bank Transfer"/>
    <n v="74472"/>
    <x v="292"/>
    <s v="Anita"/>
    <s v="Q3"/>
    <x v="4"/>
    <s v="C790"/>
  </r>
  <r>
    <s v="T10293"/>
    <s v="2022-03-20"/>
    <s v="West"/>
    <s v="Mumbai"/>
    <x v="2"/>
    <s v="Commission"/>
    <s v="UPI"/>
    <n v="263357"/>
    <x v="293"/>
    <s v="Ravi"/>
    <s v="Q1"/>
    <x v="1"/>
    <s v="C278"/>
  </r>
  <r>
    <s v="T10294"/>
    <s v="2024-12-04"/>
    <s v="South"/>
    <s v="Chennai"/>
    <x v="0"/>
    <s v="Salary"/>
    <s v="UPI"/>
    <n v="166125"/>
    <x v="294"/>
    <s v="Meera"/>
    <s v="Q4"/>
    <x v="2"/>
    <s v="C406"/>
  </r>
  <r>
    <s v="T10295"/>
    <s v="2023-06-17"/>
    <s v="South"/>
    <s v="Chennai"/>
    <x v="0"/>
    <s v="Office Supplies"/>
    <s v="Cash"/>
    <n v="7823"/>
    <x v="295"/>
    <s v="Anita"/>
    <s v="Q2"/>
    <x v="3"/>
    <s v="C506"/>
  </r>
  <r>
    <s v="T10296"/>
    <s v="2021-08-13"/>
    <s v="South"/>
    <s v="Chennai"/>
    <x v="1"/>
    <s v="FD"/>
    <s v="Cash"/>
    <n v="893795"/>
    <x v="296"/>
    <s v="Meera"/>
    <s v="Q3"/>
    <x v="0"/>
    <s v="C920"/>
  </r>
  <r>
    <s v="T10297"/>
    <s v="2023-09-26"/>
    <s v="West"/>
    <s v="Mumbai"/>
    <x v="0"/>
    <s v="Office Supplies"/>
    <s v="Credit Card"/>
    <n v="29701"/>
    <x v="297"/>
    <s v="Karan"/>
    <s v="Q3"/>
    <x v="3"/>
    <s v="C472"/>
  </r>
  <r>
    <s v="T10298"/>
    <s v="2025-03-04"/>
    <s v="North"/>
    <s v="Lucknow"/>
    <x v="0"/>
    <s v="Office Supplies"/>
    <s v="UPI"/>
    <n v="188842"/>
    <x v="298"/>
    <s v="Sneha"/>
    <s v="Q1"/>
    <x v="4"/>
    <s v="C772"/>
  </r>
  <r>
    <s v="T10299"/>
    <s v="2021-11-08"/>
    <s v="South"/>
    <s v="Bangalore"/>
    <x v="0"/>
    <s v="Office Supplies"/>
    <s v="Credit Card"/>
    <n v="12233"/>
    <x v="299"/>
    <s v="Ravi"/>
    <s v="Q4"/>
    <x v="0"/>
    <s v="C634"/>
  </r>
  <r>
    <s v="T10300"/>
    <s v="2021-08-23"/>
    <s v="North"/>
    <s v="Delhi"/>
    <x v="3"/>
    <s v="Loan Disbursement"/>
    <s v="Credit Card"/>
    <n v="419045"/>
    <x v="300"/>
    <s v="Anita"/>
    <s v="Q3"/>
    <x v="0"/>
    <s v="C735"/>
  </r>
  <r>
    <s v="T10301"/>
    <s v="2023-07-16"/>
    <s v="South"/>
    <s v="Coimbatore"/>
    <x v="2"/>
    <s v="Service"/>
    <s v="Credit Card"/>
    <n v="21391"/>
    <x v="301"/>
    <s v="Arun"/>
    <s v="Q3"/>
    <x v="3"/>
    <s v="C656"/>
  </r>
  <r>
    <s v="T10302"/>
    <s v="2023-09-29"/>
    <s v="East"/>
    <s v="Kolkata"/>
    <x v="2"/>
    <s v="Sales"/>
    <s v="UPI"/>
    <n v="268485"/>
    <x v="302"/>
    <s v="Anita"/>
    <s v="Q3"/>
    <x v="3"/>
    <s v="C428"/>
  </r>
  <r>
    <s v="T10303"/>
    <s v="2023-10-01"/>
    <s v="West"/>
    <s v="Mumbai"/>
    <x v="2"/>
    <s v="Service"/>
    <s v="Bank Transfer"/>
    <n v="131572"/>
    <x v="303"/>
    <s v="Arun"/>
    <s v="Q4"/>
    <x v="3"/>
    <s v="C114"/>
  </r>
  <r>
    <s v="T10304"/>
    <s v="2021-10-08"/>
    <s v="South"/>
    <s v="Coimbatore"/>
    <x v="0"/>
    <s v="Marketing"/>
    <s v="Credit Card"/>
    <n v="184392"/>
    <x v="304"/>
    <s v="Anita"/>
    <s v="Q4"/>
    <x v="0"/>
    <s v="C463"/>
  </r>
  <r>
    <s v="T10305"/>
    <s v="2024-03-11"/>
    <s v="West"/>
    <s v="Pune"/>
    <x v="2"/>
    <s v="Sales"/>
    <s v="Cash"/>
    <n v="68476"/>
    <x v="305"/>
    <s v="Meera"/>
    <s v="Q1"/>
    <x v="2"/>
    <s v="C910"/>
  </r>
  <r>
    <s v="T10306"/>
    <s v="2021-10-27"/>
    <s v="East"/>
    <s v="Kolkata"/>
    <x v="2"/>
    <s v="Service"/>
    <s v="Credit Card"/>
    <n v="78505"/>
    <x v="306"/>
    <s v="Ravi"/>
    <s v="Q4"/>
    <x v="0"/>
    <s v="C597"/>
  </r>
  <r>
    <s v="T10307"/>
    <s v="2023-06-04"/>
    <s v="East"/>
    <s v="Kolkata"/>
    <x v="2"/>
    <s v="Sales"/>
    <s v="Credit Card"/>
    <n v="286910"/>
    <x v="307"/>
    <s v="Arun"/>
    <s v="Q2"/>
    <x v="3"/>
    <s v="C462"/>
  </r>
  <r>
    <s v="T10308"/>
    <s v="2025-07-30"/>
    <s v="South"/>
    <s v="Bangalore"/>
    <x v="2"/>
    <s v="Subscription"/>
    <s v="UPI"/>
    <n v="174275"/>
    <x v="308"/>
    <s v="David"/>
    <s v="Q3"/>
    <x v="4"/>
    <s v="C456"/>
  </r>
  <r>
    <s v="T10309"/>
    <s v="2025-08-06"/>
    <s v="North"/>
    <s v="Chandigarh"/>
    <x v="2"/>
    <s v="Commission"/>
    <s v="Cash"/>
    <n v="65429"/>
    <x v="309"/>
    <s v="Ravi"/>
    <s v="Q3"/>
    <x v="4"/>
    <s v="C416"/>
  </r>
  <r>
    <s v="T10310"/>
    <s v="2023-12-22"/>
    <s v="East"/>
    <s v="Bhubaneswar"/>
    <x v="0"/>
    <s v="Office Supplies"/>
    <s v="Credit Card"/>
    <n v="23652"/>
    <x v="310"/>
    <s v="Priya"/>
    <s v="Q4"/>
    <x v="3"/>
    <s v="C418"/>
  </r>
  <r>
    <s v="T10311"/>
    <s v="2021-01-31"/>
    <s v="West"/>
    <s v="Pune"/>
    <x v="2"/>
    <s v="Commission"/>
    <s v="UPI"/>
    <n v="222999"/>
    <x v="311"/>
    <s v="Meera"/>
    <s v="Q1"/>
    <x v="0"/>
    <s v="C295"/>
  </r>
  <r>
    <s v="T10312"/>
    <s v="2025-02-24"/>
    <s v="North"/>
    <s v="Chandigarh"/>
    <x v="0"/>
    <s v="Office Supplies"/>
    <s v="Bank Transfer"/>
    <n v="132446"/>
    <x v="312"/>
    <s v="Ravi"/>
    <s v="Q1"/>
    <x v="4"/>
    <s v="C434"/>
  </r>
  <r>
    <s v="T10313"/>
    <s v="2022-03-25"/>
    <s v="North"/>
    <s v="Lucknow"/>
    <x v="0"/>
    <s v="Salary"/>
    <s v="UPI"/>
    <n v="46273"/>
    <x v="313"/>
    <s v="Sneha"/>
    <s v="Q1"/>
    <x v="1"/>
    <s v="C906"/>
  </r>
  <r>
    <s v="T10314"/>
    <s v="2025-10-11"/>
    <s v="North"/>
    <s v="Chandigarh"/>
    <x v="2"/>
    <s v="Sales"/>
    <s v="Credit Card"/>
    <n v="47711"/>
    <x v="314"/>
    <s v="Anita"/>
    <s v="Q4"/>
    <x v="4"/>
    <s v="C436"/>
  </r>
  <r>
    <s v="T10315"/>
    <s v="2021-05-10"/>
    <s v="East"/>
    <s v="Bhubaneswar"/>
    <x v="0"/>
    <s v="Salary"/>
    <s v="UPI"/>
    <n v="29257"/>
    <x v="315"/>
    <s v="Ravi"/>
    <s v="Q2"/>
    <x v="0"/>
    <s v="C668"/>
  </r>
  <r>
    <s v="T10316"/>
    <s v="2023-09-22"/>
    <s v="East"/>
    <s v="Kolkata"/>
    <x v="1"/>
    <s v="Stocks"/>
    <s v="Cash"/>
    <n v="551817"/>
    <x v="316"/>
    <s v="David"/>
    <s v="Q3"/>
    <x v="3"/>
    <s v="C477"/>
  </r>
  <r>
    <s v="T10317"/>
    <s v="2024-07-14"/>
    <s v="South"/>
    <s v="Chennai"/>
    <x v="2"/>
    <s v="Commission"/>
    <s v="Credit Card"/>
    <n v="58009"/>
    <x v="317"/>
    <s v="Sneha"/>
    <s v="Q3"/>
    <x v="2"/>
    <s v="C913"/>
  </r>
  <r>
    <s v="T10318"/>
    <s v="2025-04-03"/>
    <s v="South"/>
    <s v="Coimbatore"/>
    <x v="0"/>
    <s v="Office Supplies"/>
    <s v="Credit Card"/>
    <n v="185813"/>
    <x v="318"/>
    <s v="David"/>
    <s v="Q2"/>
    <x v="4"/>
    <s v="C779"/>
  </r>
  <r>
    <s v="T10319"/>
    <s v="2025-08-06"/>
    <s v="South"/>
    <s v="Coimbatore"/>
    <x v="0"/>
    <s v="Travel"/>
    <s v="Credit Card"/>
    <n v="191870"/>
    <x v="319"/>
    <s v="Meera"/>
    <s v="Q3"/>
    <x v="4"/>
    <s v="C651"/>
  </r>
  <r>
    <s v="T10320"/>
    <s v="2024-06-17"/>
    <s v="South"/>
    <s v="Bangalore"/>
    <x v="2"/>
    <s v="Sales"/>
    <s v="Credit Card"/>
    <n v="213190"/>
    <x v="320"/>
    <s v="Ravi"/>
    <s v="Q2"/>
    <x v="2"/>
    <s v="C597"/>
  </r>
  <r>
    <s v="T10321"/>
    <s v="2021-11-12"/>
    <s v="South"/>
    <s v="Bangalore"/>
    <x v="2"/>
    <s v="Subscription"/>
    <s v="Bank Transfer"/>
    <n v="264844"/>
    <x v="321"/>
    <s v="Sneha"/>
    <s v="Q4"/>
    <x v="0"/>
    <s v="C333"/>
  </r>
  <r>
    <s v="T10322"/>
    <s v="2023-12-05"/>
    <s v="East"/>
    <s v="Kolkata"/>
    <x v="0"/>
    <s v="Utilities"/>
    <s v="UPI"/>
    <n v="185252"/>
    <x v="322"/>
    <s v="Anita"/>
    <s v="Q4"/>
    <x v="3"/>
    <s v="C495"/>
  </r>
  <r>
    <s v="T10323"/>
    <s v="2023-10-18"/>
    <s v="East"/>
    <s v="Kolkata"/>
    <x v="2"/>
    <s v="Sales"/>
    <s v="Credit Card"/>
    <n v="41789"/>
    <x v="323"/>
    <s v="Arun"/>
    <s v="Q4"/>
    <x v="3"/>
    <s v="C985"/>
  </r>
  <r>
    <s v="T10324"/>
    <s v="2024-04-03"/>
    <s v="South"/>
    <s v="Bangalore"/>
    <x v="1"/>
    <s v="Stocks"/>
    <s v="Credit Card"/>
    <n v="446447"/>
    <x v="324"/>
    <s v="Priya"/>
    <s v="Q2"/>
    <x v="2"/>
    <s v="C381"/>
  </r>
  <r>
    <s v="T10325"/>
    <s v="2023-11-24"/>
    <s v="North"/>
    <s v="Delhi"/>
    <x v="2"/>
    <s v="Subscription"/>
    <s v="UPI"/>
    <n v="46491"/>
    <x v="325"/>
    <s v="Sneha"/>
    <s v="Q4"/>
    <x v="3"/>
    <s v="C830"/>
  </r>
  <r>
    <s v="T10326"/>
    <s v="2021-05-26"/>
    <s v="West"/>
    <s v="Pune"/>
    <x v="1"/>
    <s v="Stocks"/>
    <s v="Cash"/>
    <n v="345797"/>
    <x v="326"/>
    <s v="Karan"/>
    <s v="Q2"/>
    <x v="0"/>
    <s v="C471"/>
  </r>
  <r>
    <s v="T10327"/>
    <s v="2021-08-09"/>
    <s v="East"/>
    <s v="Kolkata"/>
    <x v="2"/>
    <s v="Sales"/>
    <s v="Bank Transfer"/>
    <n v="272570"/>
    <x v="327"/>
    <s v="Sneha"/>
    <s v="Q3"/>
    <x v="0"/>
    <s v="C317"/>
  </r>
  <r>
    <s v="T10328"/>
    <s v="2025-09-13"/>
    <s v="West"/>
    <s v="Mumbai"/>
    <x v="2"/>
    <s v="Sales"/>
    <s v="Bank Transfer"/>
    <n v="70397"/>
    <x v="328"/>
    <s v="Karan"/>
    <s v="Q3"/>
    <x v="4"/>
    <s v="C132"/>
  </r>
  <r>
    <s v="T10329"/>
    <s v="2025-08-17"/>
    <s v="North"/>
    <s v="Lucknow"/>
    <x v="2"/>
    <s v="Service"/>
    <s v="UPI"/>
    <n v="230133"/>
    <x v="329"/>
    <s v="Priya"/>
    <s v="Q3"/>
    <x v="4"/>
    <s v="C848"/>
  </r>
  <r>
    <s v="T10330"/>
    <s v="2024-08-08"/>
    <s v="South"/>
    <s v="Chennai"/>
    <x v="2"/>
    <s v="Subscription"/>
    <s v="Bank Transfer"/>
    <n v="149410"/>
    <x v="330"/>
    <s v="Sneha"/>
    <s v="Q3"/>
    <x v="2"/>
    <s v="C120"/>
  </r>
  <r>
    <s v="T10331"/>
    <s v="2023-01-12"/>
    <s v="South"/>
    <s v="Coimbatore"/>
    <x v="2"/>
    <s v="Sales"/>
    <s v="Cash"/>
    <n v="143535"/>
    <x v="331"/>
    <s v="Karan"/>
    <s v="Q1"/>
    <x v="3"/>
    <s v="C228"/>
  </r>
  <r>
    <s v="T10332"/>
    <s v="2025-05-19"/>
    <s v="South"/>
    <s v="Coimbatore"/>
    <x v="2"/>
    <s v="Service"/>
    <s v="UPI"/>
    <n v="202297"/>
    <x v="332"/>
    <s v="David"/>
    <s v="Q2"/>
    <x v="4"/>
    <s v="C155"/>
  </r>
  <r>
    <s v="T10333"/>
    <s v="2022-06-18"/>
    <s v="West"/>
    <s v="Mumbai"/>
    <x v="0"/>
    <s v="Marketing"/>
    <s v="UPI"/>
    <n v="102566"/>
    <x v="333"/>
    <s v="Arun"/>
    <s v="Q2"/>
    <x v="1"/>
    <s v="C991"/>
  </r>
  <r>
    <s v="T10334"/>
    <s v="2022-04-12"/>
    <s v="South"/>
    <s v="Coimbatore"/>
    <x v="2"/>
    <s v="Service"/>
    <s v="Credit Card"/>
    <n v="297071"/>
    <x v="334"/>
    <s v="David"/>
    <s v="Q2"/>
    <x v="1"/>
    <s v="C709"/>
  </r>
  <r>
    <s v="T10335"/>
    <s v="2024-04-22"/>
    <s v="East"/>
    <s v="Agartala"/>
    <x v="2"/>
    <s v="Sales"/>
    <s v="Credit Card"/>
    <n v="36763"/>
    <x v="335"/>
    <s v="Priya"/>
    <s v="Q2"/>
    <x v="2"/>
    <s v="C899"/>
  </r>
  <r>
    <s v="T10336"/>
    <s v="2025-01-09"/>
    <s v="East"/>
    <s v="Agartala"/>
    <x v="1"/>
    <s v="Stocks"/>
    <s v="Cash"/>
    <n v="960242"/>
    <x v="336"/>
    <s v="Sneha"/>
    <s v="Q1"/>
    <x v="4"/>
    <s v="C797"/>
  </r>
  <r>
    <s v="T10337"/>
    <s v="2022-08-03"/>
    <s v="South"/>
    <s v="Chennai"/>
    <x v="0"/>
    <s v="Utilities"/>
    <s v="UPI"/>
    <n v="80940"/>
    <x v="337"/>
    <s v="Ravi"/>
    <s v="Q3"/>
    <x v="1"/>
    <s v="C967"/>
  </r>
  <r>
    <s v="T10338"/>
    <s v="2025-07-04"/>
    <s v="South"/>
    <s v="Chennai"/>
    <x v="0"/>
    <s v="Office Supplies"/>
    <s v="UPI"/>
    <n v="67150"/>
    <x v="338"/>
    <s v="Karan"/>
    <s v="Q3"/>
    <x v="4"/>
    <s v="C714"/>
  </r>
  <r>
    <s v="T10339"/>
    <s v="2021-12-09"/>
    <s v="East"/>
    <s v="Agartala"/>
    <x v="2"/>
    <s v="Commission"/>
    <s v="UPI"/>
    <n v="183073"/>
    <x v="339"/>
    <s v="Karan"/>
    <s v="Q4"/>
    <x v="0"/>
    <s v="C982"/>
  </r>
  <r>
    <s v="T10340"/>
    <s v="2025-07-17"/>
    <s v="North"/>
    <s v="Chandigarh"/>
    <x v="0"/>
    <s v="Travel"/>
    <s v="UPI"/>
    <n v="132189"/>
    <x v="340"/>
    <s v="Karan"/>
    <s v="Q3"/>
    <x v="4"/>
    <s v="C764"/>
  </r>
  <r>
    <s v="T10341"/>
    <s v="2023-02-18"/>
    <s v="North"/>
    <s v="Lucknow"/>
    <x v="1"/>
    <s v="Bonds"/>
    <s v="Credit Card"/>
    <n v="690549"/>
    <x v="341"/>
    <s v="Ravi"/>
    <s v="Q1"/>
    <x v="3"/>
    <s v="C802"/>
  </r>
  <r>
    <s v="T10342"/>
    <s v="2021-01-12"/>
    <s v="North"/>
    <s v="Delhi"/>
    <x v="2"/>
    <s v="Sales"/>
    <s v="Credit Card"/>
    <n v="241896"/>
    <x v="342"/>
    <s v="Priya"/>
    <s v="Q1"/>
    <x v="0"/>
    <s v="C153"/>
  </r>
  <r>
    <s v="T10343"/>
    <s v="2023-05-10"/>
    <s v="South"/>
    <s v="Chennai"/>
    <x v="2"/>
    <s v="Subscription"/>
    <s v="UPI"/>
    <n v="89817"/>
    <x v="343"/>
    <s v="Meera"/>
    <s v="Q2"/>
    <x v="3"/>
    <s v="C727"/>
  </r>
  <r>
    <s v="T10344"/>
    <s v="2021-10-17"/>
    <s v="North"/>
    <s v="Delhi"/>
    <x v="0"/>
    <s v="Salary"/>
    <s v="Credit Card"/>
    <n v="17697"/>
    <x v="344"/>
    <s v="Arun"/>
    <s v="Q4"/>
    <x v="0"/>
    <s v="C791"/>
  </r>
  <r>
    <s v="T10345"/>
    <s v="2024-11-02"/>
    <s v="South"/>
    <s v="Chennai"/>
    <x v="0"/>
    <s v="Utilities"/>
    <s v="Credit Card"/>
    <n v="64049"/>
    <x v="345"/>
    <s v="Sneha"/>
    <s v="Q4"/>
    <x v="2"/>
    <s v="C142"/>
  </r>
  <r>
    <s v="T10346"/>
    <s v="2025-05-20"/>
    <s v="East"/>
    <s v="Bhubaneswar"/>
    <x v="2"/>
    <s v="Subscription"/>
    <s v="UPI"/>
    <n v="227961"/>
    <x v="346"/>
    <s v="Karan"/>
    <s v="Q2"/>
    <x v="4"/>
    <s v="C632"/>
  </r>
  <r>
    <s v="T10347"/>
    <s v="2025-03-22"/>
    <s v="South"/>
    <s v="Coimbatore"/>
    <x v="0"/>
    <s v="Marketing"/>
    <s v="Credit Card"/>
    <n v="193579"/>
    <x v="347"/>
    <s v="Meera"/>
    <s v="Q1"/>
    <x v="4"/>
    <s v="C816"/>
  </r>
  <r>
    <s v="T10348"/>
    <s v="2025-08-20"/>
    <s v="West"/>
    <s v="Mumbai"/>
    <x v="2"/>
    <s v="Commission"/>
    <s v="Bank Transfer"/>
    <n v="20799"/>
    <x v="348"/>
    <s v="David"/>
    <s v="Q3"/>
    <x v="4"/>
    <s v="C410"/>
  </r>
  <r>
    <s v="T10349"/>
    <s v="2022-07-08"/>
    <s v="South"/>
    <s v="Coimbatore"/>
    <x v="2"/>
    <s v="Sales"/>
    <s v="UPI"/>
    <n v="35000"/>
    <x v="349"/>
    <s v="Arun"/>
    <s v="Q3"/>
    <x v="1"/>
    <s v="C609"/>
  </r>
  <r>
    <s v="T10350"/>
    <s v="2024-09-26"/>
    <s v="South"/>
    <s v="Coimbatore"/>
    <x v="0"/>
    <s v="Office Supplies"/>
    <s v="Credit Card"/>
    <n v="69811"/>
    <x v="350"/>
    <s v="Karan"/>
    <s v="Q3"/>
    <x v="2"/>
    <s v="C856"/>
  </r>
  <r>
    <s v="T10351"/>
    <s v="2024-10-22"/>
    <s v="North"/>
    <s v="Chandigarh"/>
    <x v="2"/>
    <s v="Commission"/>
    <s v="Credit Card"/>
    <n v="236019"/>
    <x v="351"/>
    <s v="Arun"/>
    <s v="Q4"/>
    <x v="2"/>
    <s v="C883"/>
  </r>
  <r>
    <s v="T10352"/>
    <s v="2023-08-16"/>
    <s v="West"/>
    <s v="Ahmedabad"/>
    <x v="2"/>
    <s v="Sales"/>
    <s v="UPI"/>
    <n v="186115"/>
    <x v="352"/>
    <s v="Sneha"/>
    <s v="Q3"/>
    <x v="3"/>
    <s v="C864"/>
  </r>
  <r>
    <s v="T10353"/>
    <s v="2025-03-13"/>
    <s v="South"/>
    <s v="Bangalore"/>
    <x v="1"/>
    <s v="Mutual Funds"/>
    <s v="Credit Card"/>
    <n v="710093"/>
    <x v="353"/>
    <s v="Sneha"/>
    <s v="Q1"/>
    <x v="4"/>
    <s v="C454"/>
  </r>
  <r>
    <s v="T10354"/>
    <s v="2025-01-16"/>
    <s v="South"/>
    <s v="Bangalore"/>
    <x v="2"/>
    <s v="Subscription"/>
    <s v="UPI"/>
    <n v="94085"/>
    <x v="354"/>
    <s v="Karan"/>
    <s v="Q1"/>
    <x v="4"/>
    <s v="C280"/>
  </r>
  <r>
    <s v="T10355"/>
    <s v="2021-11-10"/>
    <s v="West"/>
    <s v="Mumbai"/>
    <x v="2"/>
    <s v="Subscription"/>
    <s v="Bank Transfer"/>
    <n v="37543"/>
    <x v="355"/>
    <s v="Sneha"/>
    <s v="Q4"/>
    <x v="0"/>
    <s v="C381"/>
  </r>
  <r>
    <s v="T10356"/>
    <s v="2021-06-14"/>
    <s v="East"/>
    <s v="Agartala"/>
    <x v="0"/>
    <s v="Travel"/>
    <s v="UPI"/>
    <n v="126575"/>
    <x v="356"/>
    <s v="Sneha"/>
    <s v="Q2"/>
    <x v="0"/>
    <s v="C378"/>
  </r>
  <r>
    <s v="T10357"/>
    <s v="2025-09-18"/>
    <s v="East"/>
    <s v="Agartala"/>
    <x v="0"/>
    <s v="Marketing"/>
    <s v="Bank Transfer"/>
    <n v="10494"/>
    <x v="357"/>
    <s v="Sneha"/>
    <s v="Q3"/>
    <x v="4"/>
    <s v="C790"/>
  </r>
  <r>
    <s v="T10358"/>
    <s v="2025-04-25"/>
    <s v="North"/>
    <s v="Chandigarh"/>
    <x v="2"/>
    <s v="Subscription"/>
    <s v="Cash"/>
    <n v="97229"/>
    <x v="358"/>
    <s v="Meera"/>
    <s v="Q2"/>
    <x v="4"/>
    <s v="C146"/>
  </r>
  <r>
    <s v="T10359"/>
    <s v="2024-01-28"/>
    <s v="West"/>
    <s v="Mumbai"/>
    <x v="0"/>
    <s v="Travel"/>
    <s v="Cash"/>
    <n v="84197"/>
    <x v="359"/>
    <s v="Arun"/>
    <s v="Q1"/>
    <x v="2"/>
    <s v="C864"/>
  </r>
  <r>
    <s v="T10360"/>
    <s v="2021-04-24"/>
    <s v="West"/>
    <s v="Pune"/>
    <x v="2"/>
    <s v="Service"/>
    <s v="Cash"/>
    <n v="221769"/>
    <x v="360"/>
    <s v="David"/>
    <s v="Q2"/>
    <x v="0"/>
    <s v="C372"/>
  </r>
  <r>
    <s v="T10361"/>
    <s v="2024-05-03"/>
    <s v="South"/>
    <s v="Coimbatore"/>
    <x v="2"/>
    <s v="Subscription"/>
    <s v="UPI"/>
    <n v="152137"/>
    <x v="361"/>
    <s v="Priya"/>
    <s v="Q2"/>
    <x v="2"/>
    <s v="C876"/>
  </r>
  <r>
    <s v="T10362"/>
    <s v="2022-01-28"/>
    <s v="South"/>
    <s v="Coimbatore"/>
    <x v="0"/>
    <s v="Utilities"/>
    <s v="Cash"/>
    <n v="130878"/>
    <x v="362"/>
    <s v="Arun"/>
    <s v="Q1"/>
    <x v="1"/>
    <s v="C116"/>
  </r>
  <r>
    <s v="T10363"/>
    <s v="2024-11-06"/>
    <s v="East"/>
    <s v="Kolkata"/>
    <x v="2"/>
    <s v="Commission"/>
    <s v="Credit Card"/>
    <n v="150440"/>
    <x v="363"/>
    <s v="Meera"/>
    <s v="Q4"/>
    <x v="2"/>
    <s v="C319"/>
  </r>
  <r>
    <s v="T10364"/>
    <s v="2021-01-25"/>
    <s v="West"/>
    <s v="Pune"/>
    <x v="0"/>
    <s v="Salary"/>
    <s v="Credit Card"/>
    <n v="59665"/>
    <x v="364"/>
    <s v="Ravi"/>
    <s v="Q1"/>
    <x v="0"/>
    <s v="C988"/>
  </r>
  <r>
    <s v="T10365"/>
    <s v="2023-04-04"/>
    <s v="South"/>
    <s v="Bangalore"/>
    <x v="0"/>
    <s v="Marketing"/>
    <s v="Cash"/>
    <n v="191415"/>
    <x v="365"/>
    <s v="Ravi"/>
    <s v="Q2"/>
    <x v="3"/>
    <s v="C845"/>
  </r>
  <r>
    <s v="T10366"/>
    <s v="2023-02-26"/>
    <s v="East"/>
    <s v="Bhubaneswar"/>
    <x v="0"/>
    <s v="Marketing"/>
    <s v="Bank Transfer"/>
    <n v="139581"/>
    <x v="366"/>
    <s v="Karan"/>
    <s v="Q1"/>
    <x v="3"/>
    <s v="C644"/>
  </r>
  <r>
    <s v="T10367"/>
    <s v="2025-03-25"/>
    <s v="South"/>
    <s v="Bangalore"/>
    <x v="2"/>
    <s v="Service"/>
    <s v="UPI"/>
    <n v="58728"/>
    <x v="367"/>
    <s v="Anita"/>
    <s v="Q1"/>
    <x v="4"/>
    <s v="C120"/>
  </r>
  <r>
    <s v="T10368"/>
    <s v="2022-12-16"/>
    <s v="West"/>
    <s v="Ahmedabad"/>
    <x v="2"/>
    <s v="Commission"/>
    <s v="Bank Transfer"/>
    <n v="216923"/>
    <x v="368"/>
    <s v="Meera"/>
    <s v="Q4"/>
    <x v="1"/>
    <s v="C966"/>
  </r>
  <r>
    <s v="T10369"/>
    <s v="2025-10-30"/>
    <s v="South"/>
    <s v="Coimbatore"/>
    <x v="2"/>
    <s v="Commission"/>
    <s v="UPI"/>
    <n v="275877"/>
    <x v="369"/>
    <s v="Arun"/>
    <s v="Q4"/>
    <x v="4"/>
    <s v="C316"/>
  </r>
  <r>
    <s v="T10370"/>
    <s v="2021-10-31"/>
    <s v="North"/>
    <s v="Lucknow"/>
    <x v="0"/>
    <s v="Utilities"/>
    <s v="UPI"/>
    <n v="167005"/>
    <x v="370"/>
    <s v="Sneha"/>
    <s v="Q4"/>
    <x v="0"/>
    <s v="C930"/>
  </r>
  <r>
    <s v="T10371"/>
    <s v="2021-06-01"/>
    <s v="North"/>
    <s v="Lucknow"/>
    <x v="0"/>
    <s v="Marketing"/>
    <s v="UPI"/>
    <n v="135481"/>
    <x v="371"/>
    <s v="Anita"/>
    <s v="Q2"/>
    <x v="0"/>
    <s v="C831"/>
  </r>
  <r>
    <s v="T10372"/>
    <s v="2025-05-25"/>
    <s v="South"/>
    <s v="Coimbatore"/>
    <x v="0"/>
    <s v="Marketing"/>
    <s v="UPI"/>
    <n v="107229"/>
    <x v="372"/>
    <s v="Karan"/>
    <s v="Q2"/>
    <x v="4"/>
    <s v="C246"/>
  </r>
  <r>
    <s v="T10373"/>
    <s v="2024-08-28"/>
    <s v="East"/>
    <s v="Kolkata"/>
    <x v="2"/>
    <s v="Sales"/>
    <s v="Credit Card"/>
    <n v="101587"/>
    <x v="373"/>
    <s v="Sneha"/>
    <s v="Q3"/>
    <x v="2"/>
    <s v="C431"/>
  </r>
  <r>
    <s v="T10374"/>
    <s v="2023-10-05"/>
    <s v="East"/>
    <s v="Bhubaneswar"/>
    <x v="3"/>
    <s v="Loan Repayment"/>
    <s v="Credit Card"/>
    <n v="311623"/>
    <x v="374"/>
    <s v="Meera"/>
    <s v="Q4"/>
    <x v="3"/>
    <s v="C469"/>
  </r>
  <r>
    <s v="T10375"/>
    <s v="2024-08-29"/>
    <s v="East"/>
    <s v="Bhubaneswar"/>
    <x v="0"/>
    <s v="Salary"/>
    <s v="UPI"/>
    <n v="37120"/>
    <x v="375"/>
    <s v="Karan"/>
    <s v="Q3"/>
    <x v="2"/>
    <s v="C923"/>
  </r>
  <r>
    <s v="T10376"/>
    <s v="2022-11-18"/>
    <s v="South"/>
    <s v="Bangalore"/>
    <x v="0"/>
    <s v="Salary"/>
    <s v="Cash"/>
    <n v="87515"/>
    <x v="376"/>
    <s v="Sneha"/>
    <s v="Q4"/>
    <x v="1"/>
    <s v="C798"/>
  </r>
  <r>
    <s v="T10377"/>
    <s v="2022-01-21"/>
    <s v="South"/>
    <s v="Chennai"/>
    <x v="2"/>
    <s v="Subscription"/>
    <s v="Credit Card"/>
    <n v="152686"/>
    <x v="377"/>
    <s v="Karan"/>
    <s v="Q1"/>
    <x v="1"/>
    <s v="C808"/>
  </r>
  <r>
    <s v="T10378"/>
    <s v="2021-05-18"/>
    <s v="East"/>
    <s v="Kolkata"/>
    <x v="2"/>
    <s v="Subscription"/>
    <s v="Bank Transfer"/>
    <n v="97743"/>
    <x v="378"/>
    <s v="Karan"/>
    <s v="Q2"/>
    <x v="0"/>
    <s v="C315"/>
  </r>
  <r>
    <s v="T10379"/>
    <s v="2024-06-05"/>
    <s v="East"/>
    <s v="Agartala"/>
    <x v="2"/>
    <s v="Sales"/>
    <s v="Credit Card"/>
    <n v="163250"/>
    <x v="379"/>
    <s v="Meera"/>
    <s v="Q2"/>
    <x v="2"/>
    <s v="C396"/>
  </r>
  <r>
    <s v="T10380"/>
    <s v="2023-07-22"/>
    <s v="West"/>
    <s v="Mumbai"/>
    <x v="2"/>
    <s v="Subscription"/>
    <s v="UPI"/>
    <n v="206876"/>
    <x v="380"/>
    <s v="Meera"/>
    <s v="Q3"/>
    <x v="3"/>
    <s v="C695"/>
  </r>
  <r>
    <s v="T10381"/>
    <s v="2022-12-25"/>
    <s v="East"/>
    <s v="Bhubaneswar"/>
    <x v="2"/>
    <s v="Commission"/>
    <s v="UPI"/>
    <n v="206037"/>
    <x v="381"/>
    <s v="Karan"/>
    <s v="Q4"/>
    <x v="1"/>
    <s v="C320"/>
  </r>
  <r>
    <s v="T10382"/>
    <s v="2023-09-03"/>
    <s v="South"/>
    <s v="Bangalore"/>
    <x v="2"/>
    <s v="Service"/>
    <s v="Credit Card"/>
    <n v="77935"/>
    <x v="382"/>
    <s v="Ravi"/>
    <s v="Q3"/>
    <x v="3"/>
    <s v="C979"/>
  </r>
  <r>
    <s v="T10383"/>
    <s v="2021-06-17"/>
    <s v="West"/>
    <s v="Mumbai"/>
    <x v="0"/>
    <s v="Marketing"/>
    <s v="Bank Transfer"/>
    <n v="89208"/>
    <x v="383"/>
    <s v="Arun"/>
    <s v="Q2"/>
    <x v="0"/>
    <s v="C280"/>
  </r>
  <r>
    <s v="T10384"/>
    <s v="2021-06-23"/>
    <s v="East"/>
    <s v="Kolkata"/>
    <x v="0"/>
    <s v="Utilities"/>
    <s v="UPI"/>
    <n v="190496"/>
    <x v="384"/>
    <s v="Anita"/>
    <s v="Q2"/>
    <x v="0"/>
    <s v="C379"/>
  </r>
  <r>
    <s v="T10385"/>
    <s v="2025-03-08"/>
    <s v="North"/>
    <s v="Lucknow"/>
    <x v="2"/>
    <s v="Sales"/>
    <s v="Credit Card"/>
    <n v="237675"/>
    <x v="385"/>
    <s v="Priya"/>
    <s v="Q1"/>
    <x v="4"/>
    <s v="C873"/>
  </r>
  <r>
    <s v="T10386"/>
    <s v="2024-12-01"/>
    <s v="North"/>
    <s v="Delhi"/>
    <x v="2"/>
    <s v="Sales"/>
    <s v="UPI"/>
    <n v="31952"/>
    <x v="386"/>
    <s v="Priya"/>
    <s v="Q4"/>
    <x v="2"/>
    <s v="C721"/>
  </r>
  <r>
    <s v="T10387"/>
    <s v="2024-04-19"/>
    <s v="North"/>
    <s v="Chandigarh"/>
    <x v="2"/>
    <s v="Commission"/>
    <s v="UPI"/>
    <n v="37083"/>
    <x v="387"/>
    <s v="Arun"/>
    <s v="Q2"/>
    <x v="2"/>
    <s v="C529"/>
  </r>
  <r>
    <s v="T10388"/>
    <s v="2023-08-23"/>
    <s v="West"/>
    <s v="Mumbai"/>
    <x v="2"/>
    <s v="Subscription"/>
    <s v="UPI"/>
    <n v="277013"/>
    <x v="388"/>
    <s v="Meera"/>
    <s v="Q3"/>
    <x v="3"/>
    <s v="C207"/>
  </r>
  <r>
    <s v="T10389"/>
    <s v="2024-10-09"/>
    <s v="North"/>
    <s v="Delhi"/>
    <x v="1"/>
    <s v="Stocks"/>
    <s v="UPI"/>
    <n v="155347"/>
    <x v="389"/>
    <s v="Priya"/>
    <s v="Q4"/>
    <x v="2"/>
    <s v="C780"/>
  </r>
  <r>
    <s v="T10390"/>
    <s v="2024-04-09"/>
    <s v="East"/>
    <s v="Kolkata"/>
    <x v="2"/>
    <s v="Subscription"/>
    <s v="Credit Card"/>
    <n v="44454"/>
    <x v="390"/>
    <s v="Anita"/>
    <s v="Q2"/>
    <x v="2"/>
    <s v="C508"/>
  </r>
  <r>
    <s v="T10391"/>
    <s v="2025-07-03"/>
    <s v="South"/>
    <s v="Bangalore"/>
    <x v="2"/>
    <s v="Subscription"/>
    <s v="Credit Card"/>
    <n v="91656"/>
    <x v="391"/>
    <s v="Priya"/>
    <s v="Q3"/>
    <x v="4"/>
    <s v="C347"/>
  </r>
  <r>
    <s v="T10392"/>
    <s v="2021-05-14"/>
    <s v="South"/>
    <s v="Bangalore"/>
    <x v="0"/>
    <s v="Utilities"/>
    <s v="Cash"/>
    <n v="138703"/>
    <x v="392"/>
    <s v="Sneha"/>
    <s v="Q2"/>
    <x v="0"/>
    <s v="C146"/>
  </r>
  <r>
    <s v="T10393"/>
    <s v="2021-06-24"/>
    <s v="East"/>
    <s v="Bhubaneswar"/>
    <x v="2"/>
    <s v="Commission"/>
    <s v="Bank Transfer"/>
    <n v="175090"/>
    <x v="393"/>
    <s v="Priya"/>
    <s v="Q2"/>
    <x v="0"/>
    <s v="C807"/>
  </r>
  <r>
    <s v="T10394"/>
    <s v="2022-06-17"/>
    <s v="South"/>
    <s v="Coimbatore"/>
    <x v="2"/>
    <s v="Sales"/>
    <s v="Credit Card"/>
    <n v="178391"/>
    <x v="394"/>
    <s v="Karan"/>
    <s v="Q2"/>
    <x v="1"/>
    <s v="C313"/>
  </r>
  <r>
    <s v="T10395"/>
    <s v="2025-04-17"/>
    <s v="North"/>
    <s v="Delhi"/>
    <x v="2"/>
    <s v="Service"/>
    <s v="Bank Transfer"/>
    <n v="226136"/>
    <x v="395"/>
    <s v="Anita"/>
    <s v="Q2"/>
    <x v="4"/>
    <s v="C988"/>
  </r>
  <r>
    <s v="T10396"/>
    <s v="2022-12-16"/>
    <s v="South"/>
    <s v="Bangalore"/>
    <x v="2"/>
    <s v="Sales"/>
    <s v="Credit Card"/>
    <n v="239242"/>
    <x v="396"/>
    <s v="Anita"/>
    <s v="Q4"/>
    <x v="1"/>
    <s v="C789"/>
  </r>
  <r>
    <s v="T10397"/>
    <s v="2025-07-30"/>
    <s v="West"/>
    <s v="Mumbai"/>
    <x v="2"/>
    <s v="Commission"/>
    <s v="UPI"/>
    <n v="298921"/>
    <x v="397"/>
    <s v="Arun"/>
    <s v="Q3"/>
    <x v="4"/>
    <s v="C782"/>
  </r>
  <r>
    <s v="T10398"/>
    <s v="2025-01-25"/>
    <s v="South"/>
    <s v="Chennai"/>
    <x v="0"/>
    <s v="Travel"/>
    <s v="UPI"/>
    <n v="121482"/>
    <x v="398"/>
    <s v="Meera"/>
    <s v="Q1"/>
    <x v="4"/>
    <s v="C920"/>
  </r>
  <r>
    <s v="T10399"/>
    <s v="2022-11-24"/>
    <s v="West"/>
    <s v="Mumbai"/>
    <x v="2"/>
    <s v="Service"/>
    <s v="Bank Transfer"/>
    <n v="298014"/>
    <x v="399"/>
    <s v="Arun"/>
    <s v="Q4"/>
    <x v="1"/>
    <s v="C405"/>
  </r>
  <r>
    <s v="T10400"/>
    <s v="2021-12-20"/>
    <s v="West"/>
    <s v="Mumbai"/>
    <x v="3"/>
    <s v="Loan Disbursement"/>
    <s v="UPI"/>
    <n v="55428"/>
    <x v="400"/>
    <s v="Ravi"/>
    <s v="Q4"/>
    <x v="0"/>
    <s v="C228"/>
  </r>
  <r>
    <s v="T10401"/>
    <s v="2021-06-06"/>
    <s v="East"/>
    <s v="Kolkata"/>
    <x v="0"/>
    <s v="Office Supplies"/>
    <s v="UPI"/>
    <n v="6282"/>
    <x v="401"/>
    <s v="Ravi"/>
    <s v="Q2"/>
    <x v="0"/>
    <s v="C949"/>
  </r>
  <r>
    <s v="T10402"/>
    <s v="2023-10-31"/>
    <s v="South"/>
    <s v="Coimbatore"/>
    <x v="0"/>
    <s v="Office Supplies"/>
    <s v="Credit Card"/>
    <n v="89094"/>
    <x v="402"/>
    <s v="David"/>
    <s v="Q4"/>
    <x v="3"/>
    <s v="C894"/>
  </r>
  <r>
    <s v="T10403"/>
    <s v="2024-05-26"/>
    <s v="North"/>
    <s v="Chandigarh"/>
    <x v="2"/>
    <s v="Sales"/>
    <s v="Bank Transfer"/>
    <n v="225256"/>
    <x v="403"/>
    <s v="Meera"/>
    <s v="Q2"/>
    <x v="2"/>
    <s v="C665"/>
  </r>
  <r>
    <s v="T10404"/>
    <s v="2021-01-30"/>
    <s v="South"/>
    <s v="Coimbatore"/>
    <x v="0"/>
    <s v="Utilities"/>
    <s v="Bank Transfer"/>
    <n v="162104"/>
    <x v="404"/>
    <s v="Ravi"/>
    <s v="Q1"/>
    <x v="0"/>
    <s v="C668"/>
  </r>
  <r>
    <s v="T10405"/>
    <s v="2022-09-12"/>
    <s v="South"/>
    <s v="Coimbatore"/>
    <x v="2"/>
    <s v="Commission"/>
    <s v="Bank Transfer"/>
    <n v="268365"/>
    <x v="405"/>
    <s v="Anita"/>
    <s v="Q3"/>
    <x v="1"/>
    <s v="C748"/>
  </r>
  <r>
    <s v="T10406"/>
    <s v="2024-07-16"/>
    <s v="North"/>
    <s v="Delhi"/>
    <x v="0"/>
    <s v="Travel"/>
    <s v="Bank Transfer"/>
    <n v="110144"/>
    <x v="406"/>
    <s v="Ravi"/>
    <s v="Q3"/>
    <x v="2"/>
    <s v="C488"/>
  </r>
  <r>
    <s v="T10407"/>
    <s v="2024-09-12"/>
    <s v="South"/>
    <s v="Bangalore"/>
    <x v="0"/>
    <s v="Office Supplies"/>
    <s v="Cash"/>
    <n v="53236"/>
    <x v="407"/>
    <s v="Arun"/>
    <s v="Q3"/>
    <x v="2"/>
    <s v="C887"/>
  </r>
  <r>
    <s v="T10408"/>
    <s v="2023-02-22"/>
    <s v="West"/>
    <s v="Ahmedabad"/>
    <x v="2"/>
    <s v="Sales"/>
    <s v="UPI"/>
    <n v="167168"/>
    <x v="408"/>
    <s v="Karan"/>
    <s v="Q1"/>
    <x v="3"/>
    <s v="C586"/>
  </r>
  <r>
    <s v="T10409"/>
    <s v="2022-06-27"/>
    <s v="North"/>
    <s v="Chandigarh"/>
    <x v="2"/>
    <s v="Commission"/>
    <s v="UPI"/>
    <n v="61407"/>
    <x v="409"/>
    <s v="Meera"/>
    <s v="Q2"/>
    <x v="1"/>
    <s v="C938"/>
  </r>
  <r>
    <s v="T10410"/>
    <s v="2021-01-18"/>
    <s v="West"/>
    <s v="Ahmedabad"/>
    <x v="0"/>
    <s v="Office Supplies"/>
    <s v="UPI"/>
    <n v="31059"/>
    <x v="410"/>
    <s v="Arun"/>
    <s v="Q1"/>
    <x v="0"/>
    <s v="C208"/>
  </r>
  <r>
    <s v="T10411"/>
    <s v="2022-11-04"/>
    <s v="South"/>
    <s v="Chennai"/>
    <x v="0"/>
    <s v="Travel"/>
    <s v="Bank Transfer"/>
    <n v="50423"/>
    <x v="411"/>
    <s v="Karan"/>
    <s v="Q4"/>
    <x v="1"/>
    <s v="C437"/>
  </r>
  <r>
    <s v="T10412"/>
    <s v="2023-07-20"/>
    <s v="West"/>
    <s v="Mumbai"/>
    <x v="1"/>
    <s v="Mutual Funds"/>
    <s v="UPI"/>
    <n v="213127"/>
    <x v="412"/>
    <s v="Anita"/>
    <s v="Q3"/>
    <x v="3"/>
    <s v="C143"/>
  </r>
  <r>
    <s v="T10413"/>
    <s v="2025-01-29"/>
    <s v="South"/>
    <s v="Coimbatore"/>
    <x v="0"/>
    <s v="Office Supplies"/>
    <s v="Cash"/>
    <n v="124124"/>
    <x v="413"/>
    <s v="Meera"/>
    <s v="Q1"/>
    <x v="4"/>
    <s v="C641"/>
  </r>
  <r>
    <s v="T10414"/>
    <s v="2022-10-08"/>
    <s v="South"/>
    <s v="Coimbatore"/>
    <x v="0"/>
    <s v="Utilities"/>
    <s v="Credit Card"/>
    <n v="31193"/>
    <x v="414"/>
    <s v="Karan"/>
    <s v="Q4"/>
    <x v="1"/>
    <s v="C250"/>
  </r>
  <r>
    <s v="T10415"/>
    <s v="2024-01-23"/>
    <s v="West"/>
    <s v="Ahmedabad"/>
    <x v="0"/>
    <s v="Travel"/>
    <s v="UPI"/>
    <n v="51739"/>
    <x v="415"/>
    <s v="Sneha"/>
    <s v="Q1"/>
    <x v="2"/>
    <s v="C598"/>
  </r>
  <r>
    <s v="T10416"/>
    <s v="2022-05-18"/>
    <s v="South"/>
    <s v="Bangalore"/>
    <x v="0"/>
    <s v="Utilities"/>
    <s v="UPI"/>
    <n v="169448"/>
    <x v="416"/>
    <s v="Priya"/>
    <s v="Q2"/>
    <x v="1"/>
    <s v="C213"/>
  </r>
  <r>
    <s v="T10417"/>
    <s v="2025-07-04"/>
    <s v="West"/>
    <s v="Mumbai"/>
    <x v="2"/>
    <s v="Sales"/>
    <s v="Bank Transfer"/>
    <n v="262449"/>
    <x v="417"/>
    <s v="Ravi"/>
    <s v="Q3"/>
    <x v="4"/>
    <s v="C151"/>
  </r>
  <r>
    <s v="T10418"/>
    <s v="2022-08-29"/>
    <s v="West"/>
    <s v="Ahmedabad"/>
    <x v="0"/>
    <s v="Office Supplies"/>
    <s v="Cash"/>
    <n v="154781"/>
    <x v="418"/>
    <s v="David"/>
    <s v="Q3"/>
    <x v="1"/>
    <s v="C655"/>
  </r>
  <r>
    <s v="T10419"/>
    <s v="2023-07-24"/>
    <s v="West"/>
    <s v="Pune"/>
    <x v="2"/>
    <s v="Commission"/>
    <s v="Bank Transfer"/>
    <n v="173537"/>
    <x v="419"/>
    <s v="Priya"/>
    <s v="Q3"/>
    <x v="3"/>
    <s v="C904"/>
  </r>
  <r>
    <s v="T10420"/>
    <s v="2024-10-08"/>
    <s v="East"/>
    <s v="Bhubaneswar"/>
    <x v="2"/>
    <s v="Commission"/>
    <s v="Credit Card"/>
    <n v="209563"/>
    <x v="420"/>
    <s v="Priya"/>
    <s v="Q4"/>
    <x v="2"/>
    <s v="C101"/>
  </r>
  <r>
    <s v="T10421"/>
    <s v="2024-09-13"/>
    <s v="West"/>
    <s v="Mumbai"/>
    <x v="2"/>
    <s v="Service"/>
    <s v="UPI"/>
    <n v="184019"/>
    <x v="421"/>
    <s v="Anita"/>
    <s v="Q3"/>
    <x v="2"/>
    <s v="C127"/>
  </r>
  <r>
    <s v="T10422"/>
    <s v="2024-06-15"/>
    <s v="North"/>
    <s v="Chandigarh"/>
    <x v="2"/>
    <s v="Service"/>
    <s v="UPI"/>
    <n v="193111"/>
    <x v="422"/>
    <s v="Priya"/>
    <s v="Q2"/>
    <x v="2"/>
    <s v="C381"/>
  </r>
  <r>
    <s v="T10423"/>
    <s v="2022-08-31"/>
    <s v="North"/>
    <s v="Lucknow"/>
    <x v="2"/>
    <s v="Commission"/>
    <s v="Bank Transfer"/>
    <n v="278145"/>
    <x v="423"/>
    <s v="Priya"/>
    <s v="Q3"/>
    <x v="1"/>
    <s v="C565"/>
  </r>
  <r>
    <s v="T10424"/>
    <s v="2022-07-09"/>
    <s v="West"/>
    <s v="Pune"/>
    <x v="3"/>
    <s v="Loan Disbursement"/>
    <s v="Credit Card"/>
    <n v="452336"/>
    <x v="424"/>
    <s v="Priya"/>
    <s v="Q3"/>
    <x v="1"/>
    <s v="C624"/>
  </r>
  <r>
    <s v="T10425"/>
    <s v="2024-09-20"/>
    <s v="North"/>
    <s v="Delhi"/>
    <x v="0"/>
    <s v="Utilities"/>
    <s v="Credit Card"/>
    <n v="126918"/>
    <x v="425"/>
    <s v="Karan"/>
    <s v="Q3"/>
    <x v="2"/>
    <s v="C771"/>
  </r>
  <r>
    <s v="T10426"/>
    <s v="2024-05-18"/>
    <s v="East"/>
    <s v="Kolkata"/>
    <x v="2"/>
    <s v="Sales"/>
    <s v="Bank Transfer"/>
    <n v="183933"/>
    <x v="426"/>
    <s v="Meera"/>
    <s v="Q2"/>
    <x v="2"/>
    <s v="C236"/>
  </r>
  <r>
    <s v="T10427"/>
    <s v="2022-03-24"/>
    <s v="North"/>
    <s v="Lucknow"/>
    <x v="2"/>
    <s v="Sales"/>
    <s v="Credit Card"/>
    <n v="239460"/>
    <x v="427"/>
    <s v="Arun"/>
    <s v="Q1"/>
    <x v="1"/>
    <s v="C111"/>
  </r>
  <r>
    <s v="T10428"/>
    <s v="2022-12-25"/>
    <s v="South"/>
    <s v="Coimbatore"/>
    <x v="2"/>
    <s v="Commission"/>
    <s v="UPI"/>
    <n v="251223"/>
    <x v="428"/>
    <s v="Arun"/>
    <s v="Q4"/>
    <x v="1"/>
    <s v="C397"/>
  </r>
  <r>
    <s v="T10429"/>
    <s v="2023-12-26"/>
    <s v="West"/>
    <s v="Ahmedabad"/>
    <x v="0"/>
    <s v="Office Supplies"/>
    <s v="UPI"/>
    <n v="66085"/>
    <x v="429"/>
    <s v="Ravi"/>
    <s v="Q4"/>
    <x v="3"/>
    <s v="C184"/>
  </r>
  <r>
    <s v="T10430"/>
    <s v="2021-12-05"/>
    <s v="South"/>
    <s v="Bangalore"/>
    <x v="0"/>
    <s v="Salary"/>
    <s v="Cash"/>
    <n v="56299"/>
    <x v="430"/>
    <s v="David"/>
    <s v="Q4"/>
    <x v="0"/>
    <s v="C978"/>
  </r>
  <r>
    <s v="T10431"/>
    <s v="2025-10-30"/>
    <s v="South"/>
    <s v="Coimbatore"/>
    <x v="0"/>
    <s v="Utilities"/>
    <s v="Cash"/>
    <n v="152034"/>
    <x v="431"/>
    <s v="Karan"/>
    <s v="Q4"/>
    <x v="4"/>
    <s v="C792"/>
  </r>
  <r>
    <s v="T10432"/>
    <s v="2022-09-25"/>
    <s v="West"/>
    <s v="Mumbai"/>
    <x v="0"/>
    <s v="Salary"/>
    <s v="Cash"/>
    <n v="28952"/>
    <x v="432"/>
    <s v="Meera"/>
    <s v="Q3"/>
    <x v="1"/>
    <s v="C807"/>
  </r>
  <r>
    <s v="T10433"/>
    <s v="2024-01-01"/>
    <s v="West"/>
    <s v="Mumbai"/>
    <x v="2"/>
    <s v="Service"/>
    <s v="Bank Transfer"/>
    <n v="39787"/>
    <x v="433"/>
    <s v="Arun"/>
    <s v="Q1"/>
    <x v="2"/>
    <s v="C417"/>
  </r>
  <r>
    <s v="T10434"/>
    <s v="2025-06-12"/>
    <s v="South"/>
    <s v="Bangalore"/>
    <x v="2"/>
    <s v="Subscription"/>
    <s v="Cash"/>
    <n v="294771"/>
    <x v="434"/>
    <s v="David"/>
    <s v="Q2"/>
    <x v="4"/>
    <s v="C130"/>
  </r>
  <r>
    <s v="T10435"/>
    <s v="2021-12-25"/>
    <s v="East"/>
    <s v="Bhubaneswar"/>
    <x v="1"/>
    <s v="Bonds"/>
    <s v="Credit Card"/>
    <n v="619818"/>
    <x v="435"/>
    <s v="Arun"/>
    <s v="Q4"/>
    <x v="0"/>
    <s v="C641"/>
  </r>
  <r>
    <s v="T10436"/>
    <s v="2021-01-20"/>
    <s v="West"/>
    <s v="Pune"/>
    <x v="0"/>
    <s v="Marketing"/>
    <s v="Credit Card"/>
    <n v="12839"/>
    <x v="436"/>
    <s v="Arun"/>
    <s v="Q1"/>
    <x v="0"/>
    <s v="C848"/>
  </r>
  <r>
    <s v="T10437"/>
    <s v="2023-04-17"/>
    <s v="East"/>
    <s v="Bhubaneswar"/>
    <x v="2"/>
    <s v="Sales"/>
    <s v="UPI"/>
    <n v="110243"/>
    <x v="437"/>
    <s v="Ravi"/>
    <s v="Q2"/>
    <x v="3"/>
    <s v="C899"/>
  </r>
  <r>
    <s v="T10438"/>
    <s v="2025-06-04"/>
    <s v="West"/>
    <s v="Ahmedabad"/>
    <x v="2"/>
    <s v="Subscription"/>
    <s v="Bank Transfer"/>
    <n v="169763"/>
    <x v="438"/>
    <s v="Ravi"/>
    <s v="Q2"/>
    <x v="4"/>
    <s v="C169"/>
  </r>
  <r>
    <s v="T10439"/>
    <s v="2022-12-16"/>
    <s v="South"/>
    <s v="Chennai"/>
    <x v="0"/>
    <s v="Travel"/>
    <s v="UPI"/>
    <n v="79899"/>
    <x v="439"/>
    <s v="Meera"/>
    <s v="Q4"/>
    <x v="1"/>
    <s v="C260"/>
  </r>
  <r>
    <s v="T10440"/>
    <s v="2022-10-19"/>
    <s v="North"/>
    <s v="Delhi"/>
    <x v="3"/>
    <s v="Loan Disbursement"/>
    <s v="Cash"/>
    <n v="57312"/>
    <x v="440"/>
    <s v="Sneha"/>
    <s v="Q4"/>
    <x v="1"/>
    <s v="C600"/>
  </r>
  <r>
    <s v="T10441"/>
    <s v="2022-07-27"/>
    <s v="South"/>
    <s v="Chennai"/>
    <x v="1"/>
    <s v="Bonds"/>
    <s v="Credit Card"/>
    <n v="617743"/>
    <x v="441"/>
    <s v="Priya"/>
    <s v="Q3"/>
    <x v="1"/>
    <s v="C622"/>
  </r>
  <r>
    <s v="T10442"/>
    <s v="2024-04-23"/>
    <s v="South"/>
    <s v="Chennai"/>
    <x v="2"/>
    <s v="Subscription"/>
    <s v="Cash"/>
    <n v="159282"/>
    <x v="442"/>
    <s v="Karan"/>
    <s v="Q2"/>
    <x v="2"/>
    <s v="C612"/>
  </r>
  <r>
    <s v="T10443"/>
    <s v="2024-09-18"/>
    <s v="North"/>
    <s v="Chandigarh"/>
    <x v="3"/>
    <s v="Loan Disbursement"/>
    <s v="Bank Transfer"/>
    <n v="451863"/>
    <x v="443"/>
    <s v="Ravi"/>
    <s v="Q3"/>
    <x v="2"/>
    <s v="C125"/>
  </r>
  <r>
    <s v="T10444"/>
    <s v="2022-03-14"/>
    <s v="South"/>
    <s v="Coimbatore"/>
    <x v="2"/>
    <s v="Subscription"/>
    <s v="Credit Card"/>
    <n v="159610"/>
    <x v="444"/>
    <s v="Arun"/>
    <s v="Q1"/>
    <x v="1"/>
    <s v="C351"/>
  </r>
  <r>
    <s v="T10445"/>
    <s v="2024-11-02"/>
    <s v="East"/>
    <s v="Bhubaneswar"/>
    <x v="1"/>
    <s v="Mutual Funds"/>
    <s v="UPI"/>
    <n v="914085"/>
    <x v="445"/>
    <s v="Priya"/>
    <s v="Q4"/>
    <x v="2"/>
    <s v="C685"/>
  </r>
  <r>
    <s v="T10446"/>
    <s v="2021-03-02"/>
    <s v="West"/>
    <s v="Ahmedabad"/>
    <x v="2"/>
    <s v="Service"/>
    <s v="Cash"/>
    <n v="295313"/>
    <x v="446"/>
    <s v="Ravi"/>
    <s v="Q1"/>
    <x v="0"/>
    <s v="C823"/>
  </r>
  <r>
    <s v="T10447"/>
    <s v="2024-06-05"/>
    <s v="East"/>
    <s v="Bhubaneswar"/>
    <x v="2"/>
    <s v="Commission"/>
    <s v="UPI"/>
    <n v="34751"/>
    <x v="447"/>
    <s v="Priya"/>
    <s v="Q2"/>
    <x v="2"/>
    <s v="C329"/>
  </r>
  <r>
    <s v="T10448"/>
    <s v="2021-03-19"/>
    <s v="West"/>
    <s v="Mumbai"/>
    <x v="0"/>
    <s v="Salary"/>
    <s v="UPI"/>
    <n v="40899"/>
    <x v="448"/>
    <s v="David"/>
    <s v="Q1"/>
    <x v="0"/>
    <s v="C896"/>
  </r>
  <r>
    <s v="T10449"/>
    <s v="2025-07-05"/>
    <s v="North"/>
    <s v="Lucknow"/>
    <x v="2"/>
    <s v="Commission"/>
    <s v="Credit Card"/>
    <n v="50072"/>
    <x v="449"/>
    <s v="Anita"/>
    <s v="Q3"/>
    <x v="4"/>
    <s v="C187"/>
  </r>
  <r>
    <s v="T10450"/>
    <s v="2023-11-19"/>
    <s v="North"/>
    <s v="Delhi"/>
    <x v="2"/>
    <s v="Commission"/>
    <s v="UPI"/>
    <n v="277773"/>
    <x v="450"/>
    <s v="Anita"/>
    <s v="Q4"/>
    <x v="3"/>
    <s v="C951"/>
  </r>
  <r>
    <s v="T10451"/>
    <s v="2021-02-01"/>
    <s v="South"/>
    <s v="Chennai"/>
    <x v="2"/>
    <s v="Commission"/>
    <s v="Credit Card"/>
    <n v="169287"/>
    <x v="451"/>
    <s v="Priya"/>
    <s v="Q1"/>
    <x v="0"/>
    <s v="C137"/>
  </r>
  <r>
    <s v="T10452"/>
    <s v="2023-09-18"/>
    <s v="East"/>
    <s v="Bhubaneswar"/>
    <x v="0"/>
    <s v="Utilities"/>
    <s v="Credit Card"/>
    <n v="71662"/>
    <x v="452"/>
    <s v="David"/>
    <s v="Q3"/>
    <x v="3"/>
    <s v="C184"/>
  </r>
  <r>
    <s v="T10453"/>
    <s v="2024-06-13"/>
    <s v="West"/>
    <s v="Ahmedabad"/>
    <x v="2"/>
    <s v="Subscription"/>
    <s v="Bank Transfer"/>
    <n v="235215"/>
    <x v="453"/>
    <s v="Karan"/>
    <s v="Q2"/>
    <x v="2"/>
    <s v="C686"/>
  </r>
  <r>
    <s v="T10454"/>
    <s v="2023-06-08"/>
    <s v="East"/>
    <s v="Bhubaneswar"/>
    <x v="2"/>
    <s v="Subscription"/>
    <s v="UPI"/>
    <n v="54740"/>
    <x v="454"/>
    <s v="Meera"/>
    <s v="Q2"/>
    <x v="3"/>
    <s v="C474"/>
  </r>
  <r>
    <s v="T10455"/>
    <s v="2021-06-30"/>
    <s v="North"/>
    <s v="Chandigarh"/>
    <x v="1"/>
    <s v="Stocks"/>
    <s v="Credit Card"/>
    <n v="223449"/>
    <x v="455"/>
    <s v="Ravi"/>
    <s v="Q2"/>
    <x v="0"/>
    <s v="C345"/>
  </r>
  <r>
    <s v="T10456"/>
    <s v="2025-04-11"/>
    <s v="West"/>
    <s v="Ahmedabad"/>
    <x v="0"/>
    <s v="Office Supplies"/>
    <s v="Cash"/>
    <n v="37122"/>
    <x v="456"/>
    <s v="Priya"/>
    <s v="Q2"/>
    <x v="4"/>
    <s v="C799"/>
  </r>
  <r>
    <s v="T10457"/>
    <s v="2024-12-28"/>
    <s v="South"/>
    <s v="Bangalore"/>
    <x v="2"/>
    <s v="Sales"/>
    <s v="UPI"/>
    <n v="113316"/>
    <x v="457"/>
    <s v="Anita"/>
    <s v="Q4"/>
    <x v="2"/>
    <s v="C972"/>
  </r>
  <r>
    <s v="T10458"/>
    <s v="2024-05-24"/>
    <s v="South"/>
    <s v="Bangalore"/>
    <x v="0"/>
    <s v="Salary"/>
    <s v="Credit Card"/>
    <n v="183055"/>
    <x v="458"/>
    <s v="Meera"/>
    <s v="Q2"/>
    <x v="2"/>
    <s v="C364"/>
  </r>
  <r>
    <s v="T10459"/>
    <s v="2023-09-03"/>
    <s v="East"/>
    <s v="Kolkata"/>
    <x v="0"/>
    <s v="Marketing"/>
    <s v="Bank Transfer"/>
    <n v="192257"/>
    <x v="459"/>
    <s v="Karan"/>
    <s v="Q3"/>
    <x v="3"/>
    <s v="C121"/>
  </r>
  <r>
    <s v="T10460"/>
    <s v="2025-08-12"/>
    <s v="North"/>
    <s v="Lucknow"/>
    <x v="3"/>
    <s v="Loan Disbursement"/>
    <s v="Bank Transfer"/>
    <n v="218550"/>
    <x v="460"/>
    <s v="Priya"/>
    <s v="Q3"/>
    <x v="4"/>
    <s v="C640"/>
  </r>
  <r>
    <s v="T10461"/>
    <s v="2023-07-24"/>
    <s v="South"/>
    <s v="Coimbatore"/>
    <x v="2"/>
    <s v="Service"/>
    <s v="Cash"/>
    <n v="268725"/>
    <x v="461"/>
    <s v="Karan"/>
    <s v="Q3"/>
    <x v="3"/>
    <s v="C834"/>
  </r>
  <r>
    <s v="T10462"/>
    <s v="2024-10-17"/>
    <s v="East"/>
    <s v="Agartala"/>
    <x v="2"/>
    <s v="Sales"/>
    <s v="UPI"/>
    <n v="218677"/>
    <x v="462"/>
    <s v="David"/>
    <s v="Q4"/>
    <x v="2"/>
    <s v="C163"/>
  </r>
  <r>
    <s v="T10463"/>
    <s v="2023-11-20"/>
    <s v="North"/>
    <s v="Lucknow"/>
    <x v="2"/>
    <s v="Service"/>
    <s v="UPI"/>
    <n v="67646"/>
    <x v="463"/>
    <s v="David"/>
    <s v="Q4"/>
    <x v="3"/>
    <s v="C728"/>
  </r>
  <r>
    <s v="T10464"/>
    <s v="2022-08-23"/>
    <s v="North"/>
    <s v="Chandigarh"/>
    <x v="0"/>
    <s v="Salary"/>
    <s v="UPI"/>
    <n v="38774"/>
    <x v="464"/>
    <s v="Meera"/>
    <s v="Q3"/>
    <x v="1"/>
    <s v="C653"/>
  </r>
  <r>
    <s v="T10465"/>
    <s v="2021-07-08"/>
    <s v="North"/>
    <s v="Delhi"/>
    <x v="2"/>
    <s v="Sales"/>
    <s v="Cash"/>
    <n v="228083"/>
    <x v="465"/>
    <s v="Sneha"/>
    <s v="Q3"/>
    <x v="0"/>
    <s v="C680"/>
  </r>
  <r>
    <s v="T10466"/>
    <s v="2025-01-02"/>
    <s v="South"/>
    <s v="Bangalore"/>
    <x v="2"/>
    <s v="Service"/>
    <s v="Credit Card"/>
    <n v="288855"/>
    <x v="466"/>
    <s v="Sneha"/>
    <s v="Q1"/>
    <x v="4"/>
    <s v="C855"/>
  </r>
  <r>
    <s v="T10467"/>
    <s v="2021-06-14"/>
    <s v="North"/>
    <s v="Lucknow"/>
    <x v="3"/>
    <s v="Loan Repayment"/>
    <s v="UPI"/>
    <n v="226275"/>
    <x v="467"/>
    <s v="Anita"/>
    <s v="Q2"/>
    <x v="0"/>
    <s v="C164"/>
  </r>
  <r>
    <s v="T10468"/>
    <s v="2022-02-14"/>
    <s v="South"/>
    <s v="Coimbatore"/>
    <x v="0"/>
    <s v="Utilities"/>
    <s v="Credit Card"/>
    <n v="47454"/>
    <x v="468"/>
    <s v="Priya"/>
    <s v="Q1"/>
    <x v="1"/>
    <s v="C804"/>
  </r>
  <r>
    <s v="T10469"/>
    <s v="2023-06-23"/>
    <s v="West"/>
    <s v="Ahmedabad"/>
    <x v="2"/>
    <s v="Commission"/>
    <s v="Bank Transfer"/>
    <n v="198202"/>
    <x v="469"/>
    <s v="Arun"/>
    <s v="Q2"/>
    <x v="3"/>
    <s v="C365"/>
  </r>
  <r>
    <s v="T10470"/>
    <s v="2022-11-17"/>
    <s v="North"/>
    <s v="Delhi"/>
    <x v="0"/>
    <s v="Marketing"/>
    <s v="Credit Card"/>
    <n v="18619"/>
    <x v="470"/>
    <s v="Ravi"/>
    <s v="Q4"/>
    <x v="1"/>
    <s v="C823"/>
  </r>
  <r>
    <s v="T10471"/>
    <s v="2021-12-16"/>
    <s v="South"/>
    <s v="Coimbatore"/>
    <x v="2"/>
    <s v="Sales"/>
    <s v="UPI"/>
    <n v="224696"/>
    <x v="471"/>
    <s v="David"/>
    <s v="Q4"/>
    <x v="0"/>
    <s v="C668"/>
  </r>
  <r>
    <s v="T10472"/>
    <s v="2022-05-11"/>
    <s v="South"/>
    <s v="Bangalore"/>
    <x v="2"/>
    <s v="Sales"/>
    <s v="UPI"/>
    <n v="119937"/>
    <x v="472"/>
    <s v="Meera"/>
    <s v="Q2"/>
    <x v="1"/>
    <s v="C897"/>
  </r>
  <r>
    <s v="T10473"/>
    <s v="2021-04-26"/>
    <s v="West"/>
    <s v="Mumbai"/>
    <x v="0"/>
    <s v="Marketing"/>
    <s v="UPI"/>
    <n v="111178"/>
    <x v="473"/>
    <s v="Priya"/>
    <s v="Q2"/>
    <x v="0"/>
    <s v="C891"/>
  </r>
  <r>
    <s v="T10474"/>
    <s v="2022-07-29"/>
    <s v="East"/>
    <s v="Agartala"/>
    <x v="0"/>
    <s v="Marketing"/>
    <s v="UPI"/>
    <n v="84971"/>
    <x v="474"/>
    <s v="Arun"/>
    <s v="Q3"/>
    <x v="1"/>
    <s v="C583"/>
  </r>
  <r>
    <s v="T10475"/>
    <s v="2023-11-18"/>
    <s v="South"/>
    <s v="Bangalore"/>
    <x v="0"/>
    <s v="Salary"/>
    <s v="Bank Transfer"/>
    <n v="115419"/>
    <x v="475"/>
    <s v="Arun"/>
    <s v="Q4"/>
    <x v="3"/>
    <s v="C547"/>
  </r>
  <r>
    <s v="T10476"/>
    <s v="2023-12-14"/>
    <s v="West"/>
    <s v="Pune"/>
    <x v="2"/>
    <s v="Service"/>
    <s v="Credit Card"/>
    <n v="274039"/>
    <x v="476"/>
    <s v="Ravi"/>
    <s v="Q4"/>
    <x v="3"/>
    <s v="C129"/>
  </r>
  <r>
    <s v="T10477"/>
    <s v="2023-02-05"/>
    <s v="South"/>
    <s v="Coimbatore"/>
    <x v="0"/>
    <s v="Salary"/>
    <s v="Bank Transfer"/>
    <n v="123390"/>
    <x v="477"/>
    <s v="Karan"/>
    <s v="Q1"/>
    <x v="3"/>
    <s v="C159"/>
  </r>
  <r>
    <s v="T10478"/>
    <s v="2022-02-26"/>
    <s v="South"/>
    <s v="Bangalore"/>
    <x v="2"/>
    <s v="Service"/>
    <s v="Bank Transfer"/>
    <n v="153635"/>
    <x v="478"/>
    <s v="Meera"/>
    <s v="Q1"/>
    <x v="1"/>
    <s v="C932"/>
  </r>
  <r>
    <s v="T10479"/>
    <s v="2023-08-04"/>
    <s v="North"/>
    <s v="Lucknow"/>
    <x v="2"/>
    <s v="Service"/>
    <s v="Credit Card"/>
    <n v="36203"/>
    <x v="479"/>
    <s v="Anita"/>
    <s v="Q3"/>
    <x v="3"/>
    <s v="C201"/>
  </r>
  <r>
    <s v="T10480"/>
    <s v="2021-05-30"/>
    <s v="North"/>
    <s v="Lucknow"/>
    <x v="2"/>
    <s v="Service"/>
    <s v="Credit Card"/>
    <n v="293551"/>
    <x v="480"/>
    <s v="Karan"/>
    <s v="Q2"/>
    <x v="0"/>
    <s v="C680"/>
  </r>
  <r>
    <s v="T10481"/>
    <s v="2023-07-29"/>
    <s v="South"/>
    <s v="Chennai"/>
    <x v="0"/>
    <s v="Travel"/>
    <s v="Credit Card"/>
    <n v="67140"/>
    <x v="481"/>
    <s v="Anita"/>
    <s v="Q3"/>
    <x v="3"/>
    <s v="C488"/>
  </r>
  <r>
    <s v="T10482"/>
    <s v="2022-01-15"/>
    <s v="South"/>
    <s v="Coimbatore"/>
    <x v="0"/>
    <s v="Travel"/>
    <s v="Bank Transfer"/>
    <n v="184598"/>
    <x v="482"/>
    <s v="Sneha"/>
    <s v="Q1"/>
    <x v="1"/>
    <s v="C545"/>
  </r>
  <r>
    <s v="T10483"/>
    <s v="2025-03-05"/>
    <s v="East"/>
    <s v="Kolkata"/>
    <x v="2"/>
    <s v="Subscription"/>
    <s v="UPI"/>
    <n v="101747"/>
    <x v="483"/>
    <s v="Arun"/>
    <s v="Q1"/>
    <x v="4"/>
    <s v="C545"/>
  </r>
  <r>
    <s v="T10484"/>
    <s v="2024-09-02"/>
    <s v="East"/>
    <s v="Bhubaneswar"/>
    <x v="2"/>
    <s v="Commission"/>
    <s v="Cash"/>
    <n v="172969"/>
    <x v="484"/>
    <s v="Meera"/>
    <s v="Q3"/>
    <x v="2"/>
    <s v="C562"/>
  </r>
  <r>
    <s v="T10485"/>
    <s v="2021-11-14"/>
    <s v="North"/>
    <s v="Chandigarh"/>
    <x v="0"/>
    <s v="Travel"/>
    <s v="Credit Card"/>
    <n v="42109"/>
    <x v="485"/>
    <s v="Anita"/>
    <s v="Q4"/>
    <x v="0"/>
    <s v="C461"/>
  </r>
  <r>
    <s v="T10486"/>
    <s v="2025-02-16"/>
    <s v="West"/>
    <s v="Ahmedabad"/>
    <x v="0"/>
    <s v="Utilities"/>
    <s v="Bank Transfer"/>
    <n v="111183"/>
    <x v="486"/>
    <s v="Ravi"/>
    <s v="Q1"/>
    <x v="4"/>
    <s v="C581"/>
  </r>
  <r>
    <s v="T10487"/>
    <s v="2021-04-19"/>
    <s v="South"/>
    <s v="Chennai"/>
    <x v="1"/>
    <s v="Bonds"/>
    <s v="Credit Card"/>
    <n v="539944"/>
    <x v="487"/>
    <s v="Anita"/>
    <s v="Q2"/>
    <x v="0"/>
    <s v="C718"/>
  </r>
  <r>
    <s v="T10488"/>
    <s v="2025-10-02"/>
    <s v="East"/>
    <s v="Bhubaneswar"/>
    <x v="0"/>
    <s v="Utilities"/>
    <s v="Cash"/>
    <n v="68226"/>
    <x v="488"/>
    <s v="Anita"/>
    <s v="Q4"/>
    <x v="4"/>
    <s v="C824"/>
  </r>
  <r>
    <s v="T10489"/>
    <s v="2024-03-04"/>
    <s v="East"/>
    <s v="Bhubaneswar"/>
    <x v="0"/>
    <s v="Marketing"/>
    <s v="UPI"/>
    <n v="39070"/>
    <x v="489"/>
    <s v="Anita"/>
    <s v="Q1"/>
    <x v="2"/>
    <s v="C173"/>
  </r>
  <r>
    <s v="T10490"/>
    <s v="2024-12-18"/>
    <s v="South"/>
    <s v="Coimbatore"/>
    <x v="2"/>
    <s v="Subscription"/>
    <s v="UPI"/>
    <n v="292079"/>
    <x v="490"/>
    <s v="David"/>
    <s v="Q4"/>
    <x v="2"/>
    <s v="C371"/>
  </r>
  <r>
    <s v="T10491"/>
    <s v="2025-10-03"/>
    <s v="North"/>
    <s v="Lucknow"/>
    <x v="2"/>
    <s v="Subscription"/>
    <s v="UPI"/>
    <n v="177176"/>
    <x v="491"/>
    <s v="Ravi"/>
    <s v="Q4"/>
    <x v="4"/>
    <s v="C172"/>
  </r>
  <r>
    <s v="T10492"/>
    <s v="2025-08-12"/>
    <s v="South"/>
    <s v="Chennai"/>
    <x v="0"/>
    <s v="Travel"/>
    <s v="Credit Card"/>
    <n v="174388"/>
    <x v="492"/>
    <s v="Priya"/>
    <s v="Q3"/>
    <x v="4"/>
    <s v="C770"/>
  </r>
  <r>
    <s v="T10493"/>
    <s v="2022-01-14"/>
    <s v="East"/>
    <s v="Agartala"/>
    <x v="0"/>
    <s v="Salary"/>
    <s v="Cash"/>
    <n v="106142"/>
    <x v="493"/>
    <s v="David"/>
    <s v="Q1"/>
    <x v="1"/>
    <s v="C977"/>
  </r>
  <r>
    <s v="T10494"/>
    <s v="2022-09-05"/>
    <s v="East"/>
    <s v="Agartala"/>
    <x v="0"/>
    <s v="Travel"/>
    <s v="UPI"/>
    <n v="29234"/>
    <x v="494"/>
    <s v="Arun"/>
    <s v="Q3"/>
    <x v="1"/>
    <s v="C684"/>
  </r>
  <r>
    <s v="T10495"/>
    <s v="2023-05-31"/>
    <s v="South"/>
    <s v="Coimbatore"/>
    <x v="2"/>
    <s v="Subscription"/>
    <s v="Cash"/>
    <n v="102575"/>
    <x v="495"/>
    <s v="Karan"/>
    <s v="Q2"/>
    <x v="3"/>
    <s v="C229"/>
  </r>
  <r>
    <s v="T10496"/>
    <s v="2024-03-30"/>
    <s v="North"/>
    <s v="Delhi"/>
    <x v="2"/>
    <s v="Commission"/>
    <s v="UPI"/>
    <n v="59881"/>
    <x v="496"/>
    <s v="Priya"/>
    <s v="Q1"/>
    <x v="2"/>
    <s v="C740"/>
  </r>
  <r>
    <s v="T10497"/>
    <s v="2021-09-22"/>
    <s v="North"/>
    <s v="Chandigarh"/>
    <x v="0"/>
    <s v="Office Supplies"/>
    <s v="Cash"/>
    <n v="155467"/>
    <x v="497"/>
    <s v="Meera"/>
    <s v="Q3"/>
    <x v="0"/>
    <s v="C585"/>
  </r>
  <r>
    <s v="T10498"/>
    <s v="2025-01-13"/>
    <s v="East"/>
    <s v="Kolkata"/>
    <x v="2"/>
    <s v="Service"/>
    <s v="UPI"/>
    <n v="142142"/>
    <x v="498"/>
    <s v="Priya"/>
    <s v="Q1"/>
    <x v="4"/>
    <s v="C163"/>
  </r>
  <r>
    <s v="T10499"/>
    <s v="2023-11-16"/>
    <s v="West"/>
    <s v="Pune"/>
    <x v="1"/>
    <s v="Bonds"/>
    <s v="Credit Card"/>
    <n v="809897"/>
    <x v="499"/>
    <s v="Ravi"/>
    <s v="Q4"/>
    <x v="3"/>
    <s v="C191"/>
  </r>
  <r>
    <s v="T10500"/>
    <s v="2024-08-18"/>
    <s v="South"/>
    <s v="Chennai"/>
    <x v="2"/>
    <s v="Subscription"/>
    <s v="UPI"/>
    <n v="148970"/>
    <x v="500"/>
    <s v="Meera"/>
    <s v="Q3"/>
    <x v="2"/>
    <s v="C303"/>
  </r>
  <r>
    <s v="T10501"/>
    <s v="2022-09-17"/>
    <s v="South"/>
    <s v="Coimbatore"/>
    <x v="0"/>
    <s v="Utilities"/>
    <s v="Credit Card"/>
    <n v="28231"/>
    <x v="501"/>
    <s v="Ravi"/>
    <s v="Q3"/>
    <x v="1"/>
    <s v="C511"/>
  </r>
  <r>
    <s v="T10502"/>
    <s v="2025-04-20"/>
    <s v="North"/>
    <s v="Chandigarh"/>
    <x v="0"/>
    <s v="Office Supplies"/>
    <s v="Credit Card"/>
    <n v="72389"/>
    <x v="502"/>
    <s v="Ravi"/>
    <s v="Q2"/>
    <x v="4"/>
    <s v="C385"/>
  </r>
  <r>
    <s v="T10503"/>
    <s v="2022-12-01"/>
    <s v="North"/>
    <s v="Chandigarh"/>
    <x v="2"/>
    <s v="Subscription"/>
    <s v="UPI"/>
    <n v="83727"/>
    <x v="503"/>
    <s v="Sneha"/>
    <s v="Q4"/>
    <x v="1"/>
    <s v="C361"/>
  </r>
  <r>
    <s v="T10504"/>
    <s v="2024-05-28"/>
    <s v="South"/>
    <s v="Bangalore"/>
    <x v="0"/>
    <s v="Travel"/>
    <s v="Bank Transfer"/>
    <n v="183664"/>
    <x v="504"/>
    <s v="Sneha"/>
    <s v="Q2"/>
    <x v="2"/>
    <s v="C223"/>
  </r>
  <r>
    <s v="T10505"/>
    <s v="2024-10-25"/>
    <s v="North"/>
    <s v="Delhi"/>
    <x v="1"/>
    <s v="Mutual Funds"/>
    <s v="UPI"/>
    <n v="430261"/>
    <x v="505"/>
    <s v="Priya"/>
    <s v="Q4"/>
    <x v="2"/>
    <s v="C540"/>
  </r>
  <r>
    <s v="T10506"/>
    <s v="2024-01-16"/>
    <s v="South"/>
    <s v="Chennai"/>
    <x v="2"/>
    <s v="Subscription"/>
    <s v="Cash"/>
    <n v="71325"/>
    <x v="506"/>
    <s v="Anita"/>
    <s v="Q1"/>
    <x v="2"/>
    <s v="C621"/>
  </r>
  <r>
    <s v="T10507"/>
    <s v="2021-07-23"/>
    <s v="East"/>
    <s v="Bhubaneswar"/>
    <x v="2"/>
    <s v="Subscription"/>
    <s v="UPI"/>
    <n v="156057"/>
    <x v="507"/>
    <s v="Ravi"/>
    <s v="Q3"/>
    <x v="0"/>
    <s v="C102"/>
  </r>
  <r>
    <s v="T10508"/>
    <s v="2022-04-13"/>
    <s v="South"/>
    <s v="Chennai"/>
    <x v="2"/>
    <s v="Subscription"/>
    <s v="Cash"/>
    <n v="226035"/>
    <x v="508"/>
    <s v="Meera"/>
    <s v="Q2"/>
    <x v="1"/>
    <s v="C835"/>
  </r>
  <r>
    <s v="T10509"/>
    <s v="2023-07-08"/>
    <s v="East"/>
    <s v="Kolkata"/>
    <x v="0"/>
    <s v="Travel"/>
    <s v="Cash"/>
    <n v="14162"/>
    <x v="509"/>
    <s v="Sneha"/>
    <s v="Q3"/>
    <x v="3"/>
    <s v="C141"/>
  </r>
  <r>
    <s v="T10510"/>
    <s v="2023-09-26"/>
    <s v="South"/>
    <s v="Chennai"/>
    <x v="0"/>
    <s v="Travel"/>
    <s v="Bank Transfer"/>
    <n v="147610"/>
    <x v="510"/>
    <s v="Ravi"/>
    <s v="Q3"/>
    <x v="3"/>
    <s v="C417"/>
  </r>
  <r>
    <s v="T10511"/>
    <s v="2025-04-02"/>
    <s v="West"/>
    <s v="Ahmedabad"/>
    <x v="0"/>
    <s v="Utilities"/>
    <s v="Bank Transfer"/>
    <n v="191012"/>
    <x v="511"/>
    <s v="Arun"/>
    <s v="Q2"/>
    <x v="4"/>
    <s v="C637"/>
  </r>
  <r>
    <s v="T10512"/>
    <s v="2025-04-19"/>
    <s v="North"/>
    <s v="Delhi"/>
    <x v="0"/>
    <s v="Salary"/>
    <s v="Credit Card"/>
    <n v="63987"/>
    <x v="512"/>
    <s v="Arun"/>
    <s v="Q2"/>
    <x v="4"/>
    <s v="C744"/>
  </r>
  <r>
    <s v="T10513"/>
    <s v="2023-04-15"/>
    <s v="North"/>
    <s v="Delhi"/>
    <x v="2"/>
    <s v="Subscription"/>
    <s v="Bank Transfer"/>
    <n v="171949"/>
    <x v="513"/>
    <s v="David"/>
    <s v="Q2"/>
    <x v="3"/>
    <s v="C492"/>
  </r>
  <r>
    <s v="T10514"/>
    <s v="2021-07-27"/>
    <s v="West"/>
    <s v="Mumbai"/>
    <x v="2"/>
    <s v="Commission"/>
    <s v="Credit Card"/>
    <n v="51939"/>
    <x v="514"/>
    <s v="Karan"/>
    <s v="Q3"/>
    <x v="0"/>
    <s v="C315"/>
  </r>
  <r>
    <s v="T10515"/>
    <s v="2023-02-18"/>
    <s v="North"/>
    <s v="Delhi"/>
    <x v="0"/>
    <s v="Utilities"/>
    <s v="Credit Card"/>
    <n v="84269"/>
    <x v="515"/>
    <s v="Priya"/>
    <s v="Q1"/>
    <x v="3"/>
    <s v="C207"/>
  </r>
  <r>
    <s v="T10516"/>
    <s v="2024-01-01"/>
    <s v="South"/>
    <s v="Chennai"/>
    <x v="1"/>
    <s v="Stocks"/>
    <s v="Credit Card"/>
    <n v="518897"/>
    <x v="516"/>
    <s v="Arun"/>
    <s v="Q1"/>
    <x v="2"/>
    <s v="C999"/>
  </r>
  <r>
    <s v="T10517"/>
    <s v="2021-09-03"/>
    <s v="South"/>
    <s v="Coimbatore"/>
    <x v="2"/>
    <s v="Commission"/>
    <s v="Bank Transfer"/>
    <n v="85226"/>
    <x v="517"/>
    <s v="Ravi"/>
    <s v="Q3"/>
    <x v="0"/>
    <s v="C998"/>
  </r>
  <r>
    <s v="T10518"/>
    <s v="2021-07-27"/>
    <s v="North"/>
    <s v="Lucknow"/>
    <x v="2"/>
    <s v="Sales"/>
    <s v="Credit Card"/>
    <n v="199846"/>
    <x v="518"/>
    <s v="Priya"/>
    <s v="Q3"/>
    <x v="0"/>
    <s v="C990"/>
  </r>
  <r>
    <s v="T10519"/>
    <s v="2024-08-27"/>
    <s v="North"/>
    <s v="Lucknow"/>
    <x v="2"/>
    <s v="Subscription"/>
    <s v="Credit Card"/>
    <n v="199430"/>
    <x v="519"/>
    <s v="Sneha"/>
    <s v="Q3"/>
    <x v="2"/>
    <s v="C186"/>
  </r>
  <r>
    <s v="T10520"/>
    <s v="2023-12-03"/>
    <s v="South"/>
    <s v="Bangalore"/>
    <x v="2"/>
    <s v="Subscription"/>
    <s v="UPI"/>
    <n v="20501"/>
    <x v="520"/>
    <s v="Meera"/>
    <s v="Q4"/>
    <x v="3"/>
    <s v="C910"/>
  </r>
  <r>
    <s v="T10521"/>
    <s v="2023-09-28"/>
    <s v="North"/>
    <s v="Delhi"/>
    <x v="0"/>
    <s v="Utilities"/>
    <s v="Cash"/>
    <n v="70286"/>
    <x v="521"/>
    <s v="Karan"/>
    <s v="Q3"/>
    <x v="3"/>
    <s v="C939"/>
  </r>
  <r>
    <s v="T10522"/>
    <s v="2022-06-11"/>
    <s v="West"/>
    <s v="Pune"/>
    <x v="2"/>
    <s v="Sales"/>
    <s v="Credit Card"/>
    <n v="297256"/>
    <x v="522"/>
    <s v="Arun"/>
    <s v="Q2"/>
    <x v="1"/>
    <s v="C394"/>
  </r>
  <r>
    <s v="T10523"/>
    <s v="2022-01-15"/>
    <s v="North"/>
    <s v="Chandigarh"/>
    <x v="0"/>
    <s v="Salary"/>
    <s v="Credit Card"/>
    <n v="87130"/>
    <x v="523"/>
    <s v="Priya"/>
    <s v="Q1"/>
    <x v="1"/>
    <s v="C219"/>
  </r>
  <r>
    <s v="T10524"/>
    <s v="2022-09-17"/>
    <s v="South"/>
    <s v="Bangalore"/>
    <x v="0"/>
    <s v="Travel"/>
    <s v="UPI"/>
    <n v="95558"/>
    <x v="524"/>
    <s v="David"/>
    <s v="Q3"/>
    <x v="1"/>
    <s v="C216"/>
  </r>
  <r>
    <s v="T10525"/>
    <s v="2025-07-04"/>
    <s v="East"/>
    <s v="Kolkata"/>
    <x v="2"/>
    <s v="Sales"/>
    <s v="Bank Transfer"/>
    <n v="107671"/>
    <x v="525"/>
    <s v="Arun"/>
    <s v="Q3"/>
    <x v="4"/>
    <s v="C801"/>
  </r>
  <r>
    <s v="T10526"/>
    <s v="2024-12-31"/>
    <s v="South"/>
    <s v="Chennai"/>
    <x v="0"/>
    <s v="Salary"/>
    <s v="Cash"/>
    <n v="53824"/>
    <x v="526"/>
    <s v="David"/>
    <s v="Q4"/>
    <x v="2"/>
    <s v="C463"/>
  </r>
  <r>
    <s v="T10527"/>
    <s v="2024-01-25"/>
    <s v="West"/>
    <s v="Mumbai"/>
    <x v="2"/>
    <s v="Sales"/>
    <s v="Cash"/>
    <n v="86076"/>
    <x v="527"/>
    <s v="Meera"/>
    <s v="Q1"/>
    <x v="2"/>
    <s v="C634"/>
  </r>
  <r>
    <s v="T10528"/>
    <s v="2022-12-29"/>
    <s v="East"/>
    <s v="Agartala"/>
    <x v="0"/>
    <s v="Travel"/>
    <s v="UPI"/>
    <n v="157584"/>
    <x v="528"/>
    <s v="Ravi"/>
    <s v="Q4"/>
    <x v="1"/>
    <s v="C480"/>
  </r>
  <r>
    <s v="T10529"/>
    <s v="2025-12-12"/>
    <s v="West"/>
    <s v="Ahmedabad"/>
    <x v="2"/>
    <s v="Subscription"/>
    <s v="Cash"/>
    <n v="215884"/>
    <x v="529"/>
    <s v="Ravi"/>
    <s v="Q4"/>
    <x v="4"/>
    <s v="C499"/>
  </r>
  <r>
    <s v="T10530"/>
    <s v="2022-07-16"/>
    <s v="North"/>
    <s v="Chandigarh"/>
    <x v="2"/>
    <s v="Subscription"/>
    <s v="Credit Card"/>
    <n v="214571"/>
    <x v="530"/>
    <s v="Priya"/>
    <s v="Q3"/>
    <x v="1"/>
    <s v="C864"/>
  </r>
  <r>
    <s v="T10531"/>
    <s v="2024-11-09"/>
    <s v="South"/>
    <s v="Chennai"/>
    <x v="0"/>
    <s v="Marketing"/>
    <s v="UPI"/>
    <n v="19422"/>
    <x v="531"/>
    <s v="David"/>
    <s v="Q4"/>
    <x v="2"/>
    <s v="C266"/>
  </r>
  <r>
    <s v="T10532"/>
    <s v="2022-10-15"/>
    <s v="South"/>
    <s v="Chennai"/>
    <x v="2"/>
    <s v="Subscription"/>
    <s v="UPI"/>
    <n v="95391"/>
    <x v="532"/>
    <s v="David"/>
    <s v="Q4"/>
    <x v="1"/>
    <s v="C940"/>
  </r>
  <r>
    <s v="T10533"/>
    <s v="2024-12-29"/>
    <s v="South"/>
    <s v="Chennai"/>
    <x v="2"/>
    <s v="Service"/>
    <s v="Credit Card"/>
    <n v="123328"/>
    <x v="533"/>
    <s v="David"/>
    <s v="Q4"/>
    <x v="2"/>
    <s v="C682"/>
  </r>
  <r>
    <s v="T10534"/>
    <s v="2021-05-07"/>
    <s v="West"/>
    <s v="Pune"/>
    <x v="0"/>
    <s v="Utilities"/>
    <s v="Bank Transfer"/>
    <n v="21202"/>
    <x v="534"/>
    <s v="Priya"/>
    <s v="Q2"/>
    <x v="0"/>
    <s v="C715"/>
  </r>
  <r>
    <s v="T10535"/>
    <s v="2022-10-29"/>
    <s v="East"/>
    <s v="Kolkata"/>
    <x v="2"/>
    <s v="Subscription"/>
    <s v="UPI"/>
    <n v="196301"/>
    <x v="535"/>
    <s v="Karan"/>
    <s v="Q4"/>
    <x v="1"/>
    <s v="C406"/>
  </r>
  <r>
    <s v="T10536"/>
    <s v="2022-09-16"/>
    <s v="North"/>
    <s v="Chandigarh"/>
    <x v="0"/>
    <s v="Marketing"/>
    <s v="UPI"/>
    <n v="100313"/>
    <x v="536"/>
    <s v="Meera"/>
    <s v="Q3"/>
    <x v="1"/>
    <s v="C947"/>
  </r>
  <r>
    <s v="T10537"/>
    <s v="2025-05-05"/>
    <s v="South"/>
    <s v="Chennai"/>
    <x v="1"/>
    <s v="Mutual Funds"/>
    <s v="Credit Card"/>
    <n v="350940"/>
    <x v="537"/>
    <s v="Meera"/>
    <s v="Q2"/>
    <x v="4"/>
    <s v="C115"/>
  </r>
  <r>
    <s v="T10538"/>
    <s v="2022-07-24"/>
    <s v="South"/>
    <s v="Coimbatore"/>
    <x v="1"/>
    <s v="Stocks"/>
    <s v="Credit Card"/>
    <n v="573469"/>
    <x v="538"/>
    <s v="Sneha"/>
    <s v="Q3"/>
    <x v="1"/>
    <s v="C951"/>
  </r>
  <r>
    <s v="T10539"/>
    <s v="2023-07-28"/>
    <s v="South"/>
    <s v="Coimbatore"/>
    <x v="0"/>
    <s v="Travel"/>
    <s v="Credit Card"/>
    <n v="31027"/>
    <x v="539"/>
    <s v="Arun"/>
    <s v="Q3"/>
    <x v="3"/>
    <s v="C661"/>
  </r>
  <r>
    <s v="T10540"/>
    <s v="2023-04-02"/>
    <s v="West"/>
    <s v="Mumbai"/>
    <x v="2"/>
    <s v="Sales"/>
    <s v="UPI"/>
    <n v="90650"/>
    <x v="540"/>
    <s v="Arun"/>
    <s v="Q2"/>
    <x v="3"/>
    <s v="C218"/>
  </r>
  <r>
    <s v="T10541"/>
    <s v="2022-02-13"/>
    <s v="North"/>
    <s v="Chandigarh"/>
    <x v="2"/>
    <s v="Commission"/>
    <s v="UPI"/>
    <n v="277113"/>
    <x v="541"/>
    <s v="Priya"/>
    <s v="Q1"/>
    <x v="1"/>
    <s v="C924"/>
  </r>
  <r>
    <s v="T10542"/>
    <s v="2022-08-29"/>
    <s v="North"/>
    <s v="Chandigarh"/>
    <x v="0"/>
    <s v="Office Supplies"/>
    <s v="UPI"/>
    <n v="178873"/>
    <x v="542"/>
    <s v="Anita"/>
    <s v="Q3"/>
    <x v="1"/>
    <s v="C323"/>
  </r>
  <r>
    <s v="T10543"/>
    <s v="2022-11-25"/>
    <s v="North"/>
    <s v="Delhi"/>
    <x v="3"/>
    <s v="Loan Disbursement"/>
    <s v="Credit Card"/>
    <n v="29759"/>
    <x v="543"/>
    <s v="David"/>
    <s v="Q4"/>
    <x v="1"/>
    <s v="C832"/>
  </r>
  <r>
    <s v="T10544"/>
    <s v="2021-04-01"/>
    <s v="East"/>
    <s v="Agartala"/>
    <x v="2"/>
    <s v="Commission"/>
    <s v="Credit Card"/>
    <n v="62812"/>
    <x v="544"/>
    <s v="David"/>
    <s v="Q2"/>
    <x v="0"/>
    <s v="C665"/>
  </r>
  <r>
    <s v="T10545"/>
    <s v="2025-09-05"/>
    <s v="North"/>
    <s v="Lucknow"/>
    <x v="2"/>
    <s v="Commission"/>
    <s v="UPI"/>
    <n v="25391"/>
    <x v="545"/>
    <s v="David"/>
    <s v="Q3"/>
    <x v="4"/>
    <s v="C509"/>
  </r>
  <r>
    <s v="T10546"/>
    <s v="2023-09-28"/>
    <s v="North"/>
    <s v="Chandigarh"/>
    <x v="0"/>
    <s v="Salary"/>
    <s v="UPI"/>
    <n v="86371"/>
    <x v="546"/>
    <s v="Sneha"/>
    <s v="Q3"/>
    <x v="3"/>
    <s v="C820"/>
  </r>
  <r>
    <s v="T10547"/>
    <s v="2021-04-21"/>
    <s v="West"/>
    <s v="Mumbai"/>
    <x v="1"/>
    <s v="Mutual Funds"/>
    <s v="Credit Card"/>
    <n v="753493"/>
    <x v="547"/>
    <s v="Ravi"/>
    <s v="Q2"/>
    <x v="0"/>
    <s v="C176"/>
  </r>
  <r>
    <s v="T10548"/>
    <s v="2025-06-24"/>
    <s v="North"/>
    <s v="Delhi"/>
    <x v="0"/>
    <s v="Utilities"/>
    <s v="UPI"/>
    <n v="160631"/>
    <x v="548"/>
    <s v="Meera"/>
    <s v="Q2"/>
    <x v="4"/>
    <s v="C394"/>
  </r>
  <r>
    <s v="T10549"/>
    <s v="2022-01-16"/>
    <s v="North"/>
    <s v="Delhi"/>
    <x v="2"/>
    <s v="Service"/>
    <s v="Bank Transfer"/>
    <n v="144888"/>
    <x v="549"/>
    <s v="David"/>
    <s v="Q1"/>
    <x v="1"/>
    <s v="C659"/>
  </r>
  <r>
    <s v="T10550"/>
    <s v="2021-03-28"/>
    <s v="East"/>
    <s v="Agartala"/>
    <x v="2"/>
    <s v="Service"/>
    <s v="Credit Card"/>
    <n v="118291"/>
    <x v="550"/>
    <s v="Anita"/>
    <s v="Q1"/>
    <x v="0"/>
    <s v="C251"/>
  </r>
  <r>
    <s v="T10551"/>
    <s v="2021-11-29"/>
    <s v="North"/>
    <s v="Delhi"/>
    <x v="2"/>
    <s v="Service"/>
    <s v="Credit Card"/>
    <n v="242200"/>
    <x v="551"/>
    <s v="Priya"/>
    <s v="Q4"/>
    <x v="0"/>
    <s v="C173"/>
  </r>
  <r>
    <s v="T10552"/>
    <s v="2022-12-19"/>
    <s v="East"/>
    <s v="Kolkata"/>
    <x v="0"/>
    <s v="Office Supplies"/>
    <s v="Credit Card"/>
    <n v="106217"/>
    <x v="552"/>
    <s v="Ravi"/>
    <s v="Q4"/>
    <x v="1"/>
    <s v="C275"/>
  </r>
  <r>
    <s v="T10553"/>
    <s v="2021-09-28"/>
    <s v="South"/>
    <s v="Bangalore"/>
    <x v="2"/>
    <s v="Sales"/>
    <s v="Credit Card"/>
    <n v="242936"/>
    <x v="553"/>
    <s v="Ravi"/>
    <s v="Q3"/>
    <x v="0"/>
    <s v="C678"/>
  </r>
  <r>
    <s v="T10554"/>
    <s v="2023-04-03"/>
    <s v="East"/>
    <s v="Bhubaneswar"/>
    <x v="2"/>
    <s v="Service"/>
    <s v="Credit Card"/>
    <n v="134352"/>
    <x v="554"/>
    <s v="Ravi"/>
    <s v="Q2"/>
    <x v="3"/>
    <s v="C443"/>
  </r>
  <r>
    <s v="T10555"/>
    <s v="2024-04-26"/>
    <s v="West"/>
    <s v="Pune"/>
    <x v="2"/>
    <s v="Service"/>
    <s v="Credit Card"/>
    <n v="34790"/>
    <x v="555"/>
    <s v="Arun"/>
    <s v="Q2"/>
    <x v="2"/>
    <s v="C183"/>
  </r>
  <r>
    <s v="T10556"/>
    <s v="2022-01-24"/>
    <s v="West"/>
    <s v="Mumbai"/>
    <x v="2"/>
    <s v="Subscription"/>
    <s v="UPI"/>
    <n v="146183"/>
    <x v="556"/>
    <s v="Karan"/>
    <s v="Q1"/>
    <x v="1"/>
    <s v="C665"/>
  </r>
  <r>
    <s v="T10557"/>
    <s v="2025-01-16"/>
    <s v="North"/>
    <s v="Chandigarh"/>
    <x v="0"/>
    <s v="Marketing"/>
    <s v="Bank Transfer"/>
    <n v="13908"/>
    <x v="557"/>
    <s v="Priya"/>
    <s v="Q1"/>
    <x v="4"/>
    <s v="C950"/>
  </r>
  <r>
    <s v="T10558"/>
    <s v="2023-04-25"/>
    <s v="West"/>
    <s v="Pune"/>
    <x v="2"/>
    <s v="Sales"/>
    <s v="Cash"/>
    <n v="236175"/>
    <x v="558"/>
    <s v="Karan"/>
    <s v="Q2"/>
    <x v="3"/>
    <s v="C419"/>
  </r>
  <r>
    <s v="T10559"/>
    <s v="2024-08-23"/>
    <s v="North"/>
    <s v="Lucknow"/>
    <x v="2"/>
    <s v="Commission"/>
    <s v="Cash"/>
    <n v="231719"/>
    <x v="559"/>
    <s v="Arun"/>
    <s v="Q3"/>
    <x v="2"/>
    <s v="C948"/>
  </r>
  <r>
    <s v="T10560"/>
    <s v="2021-02-27"/>
    <s v="West"/>
    <s v="Pune"/>
    <x v="2"/>
    <s v="Commission"/>
    <s v="Cash"/>
    <n v="158832"/>
    <x v="560"/>
    <s v="Sneha"/>
    <s v="Q1"/>
    <x v="0"/>
    <s v="C543"/>
  </r>
  <r>
    <s v="T10561"/>
    <s v="2024-01-10"/>
    <s v="South"/>
    <s v="Bangalore"/>
    <x v="2"/>
    <s v="Subscription"/>
    <s v="UPI"/>
    <n v="22813"/>
    <x v="561"/>
    <s v="Meera"/>
    <s v="Q1"/>
    <x v="2"/>
    <s v="C886"/>
  </r>
  <r>
    <s v="T10562"/>
    <s v="2021-09-10"/>
    <s v="South"/>
    <s v="Coimbatore"/>
    <x v="3"/>
    <s v="Loan Repayment"/>
    <s v="Cash"/>
    <n v="410358"/>
    <x v="562"/>
    <s v="Ravi"/>
    <s v="Q3"/>
    <x v="0"/>
    <s v="C266"/>
  </r>
  <r>
    <s v="T10563"/>
    <s v="2021-07-01"/>
    <s v="South"/>
    <s v="Coimbatore"/>
    <x v="2"/>
    <s v="Commission"/>
    <s v="Bank Transfer"/>
    <n v="113624"/>
    <x v="563"/>
    <s v="Karan"/>
    <s v="Q3"/>
    <x v="0"/>
    <s v="C906"/>
  </r>
  <r>
    <s v="T10564"/>
    <s v="2023-01-08"/>
    <s v="West"/>
    <s v="Pune"/>
    <x v="2"/>
    <s v="Subscription"/>
    <s v="Bank Transfer"/>
    <n v="67768"/>
    <x v="564"/>
    <s v="Ravi"/>
    <s v="Q1"/>
    <x v="3"/>
    <s v="C615"/>
  </r>
  <r>
    <s v="T10565"/>
    <s v="2025-12-02"/>
    <s v="West"/>
    <s v="Ahmedabad"/>
    <x v="0"/>
    <s v="Utilities"/>
    <s v="Cash"/>
    <n v="124108"/>
    <x v="565"/>
    <s v="Sneha"/>
    <s v="Q4"/>
    <x v="4"/>
    <s v="C567"/>
  </r>
  <r>
    <s v="T10566"/>
    <s v="2025-12-08"/>
    <s v="South"/>
    <s v="Chennai"/>
    <x v="2"/>
    <s v="Subscription"/>
    <s v="Credit Card"/>
    <n v="172602"/>
    <x v="566"/>
    <s v="Arun"/>
    <s v="Q4"/>
    <x v="4"/>
    <s v="C806"/>
  </r>
  <r>
    <s v="T10567"/>
    <s v="2024-06-03"/>
    <s v="South"/>
    <s v="Coimbatore"/>
    <x v="0"/>
    <s v="Office Supplies"/>
    <s v="Bank Transfer"/>
    <n v="78699"/>
    <x v="567"/>
    <s v="Arun"/>
    <s v="Q2"/>
    <x v="2"/>
    <s v="C115"/>
  </r>
  <r>
    <s v="T10568"/>
    <s v="2025-11-27"/>
    <s v="North"/>
    <s v="Delhi"/>
    <x v="0"/>
    <s v="Salary"/>
    <s v="Bank Transfer"/>
    <n v="68207"/>
    <x v="568"/>
    <s v="Sneha"/>
    <s v="Q4"/>
    <x v="4"/>
    <s v="C951"/>
  </r>
  <r>
    <s v="T10569"/>
    <s v="2024-09-12"/>
    <s v="South"/>
    <s v="Bangalore"/>
    <x v="2"/>
    <s v="Service"/>
    <s v="Cash"/>
    <n v="21015"/>
    <x v="569"/>
    <s v="Sneha"/>
    <s v="Q3"/>
    <x v="2"/>
    <s v="C316"/>
  </r>
  <r>
    <s v="T10570"/>
    <s v="2025-04-01"/>
    <s v="North"/>
    <s v="Lucknow"/>
    <x v="1"/>
    <s v="Mutual Funds"/>
    <s v="Credit Card"/>
    <n v="873263"/>
    <x v="570"/>
    <s v="Sneha"/>
    <s v="Q2"/>
    <x v="4"/>
    <s v="C730"/>
  </r>
  <r>
    <s v="T10571"/>
    <s v="2025-07-01"/>
    <s v="West"/>
    <s v="Mumbai"/>
    <x v="2"/>
    <s v="Sales"/>
    <s v="Credit Card"/>
    <n v="142845"/>
    <x v="571"/>
    <s v="Arun"/>
    <s v="Q3"/>
    <x v="4"/>
    <s v="C225"/>
  </r>
  <r>
    <s v="T10572"/>
    <s v="2022-06-18"/>
    <s v="East"/>
    <s v="Bhubaneswar"/>
    <x v="2"/>
    <s v="Subscription"/>
    <s v="Credit Card"/>
    <n v="208700"/>
    <x v="572"/>
    <s v="Anita"/>
    <s v="Q2"/>
    <x v="1"/>
    <s v="C928"/>
  </r>
  <r>
    <s v="T10573"/>
    <s v="2024-04-25"/>
    <s v="East"/>
    <s v="Agartala"/>
    <x v="2"/>
    <s v="Subscription"/>
    <s v="Credit Card"/>
    <n v="42151"/>
    <x v="573"/>
    <s v="Anita"/>
    <s v="Q2"/>
    <x v="2"/>
    <s v="C473"/>
  </r>
  <r>
    <s v="T10574"/>
    <s v="2023-07-27"/>
    <s v="South"/>
    <s v="Chennai"/>
    <x v="3"/>
    <s v="Loan Disbursement"/>
    <s v="UPI"/>
    <n v="348713"/>
    <x v="574"/>
    <s v="Karan"/>
    <s v="Q3"/>
    <x v="3"/>
    <s v="C993"/>
  </r>
  <r>
    <s v="T10575"/>
    <s v="2025-03-17"/>
    <s v="West"/>
    <s v="Ahmedabad"/>
    <x v="2"/>
    <s v="Subscription"/>
    <s v="UPI"/>
    <n v="133422"/>
    <x v="575"/>
    <s v="Sneha"/>
    <s v="Q1"/>
    <x v="4"/>
    <s v="C820"/>
  </r>
  <r>
    <s v="T10576"/>
    <s v="2024-04-01"/>
    <s v="North"/>
    <s v="Delhi"/>
    <x v="2"/>
    <s v="Sales"/>
    <s v="Credit Card"/>
    <n v="252871"/>
    <x v="576"/>
    <s v="Karan"/>
    <s v="Q2"/>
    <x v="2"/>
    <s v="C812"/>
  </r>
  <r>
    <s v="T10577"/>
    <s v="2022-08-25"/>
    <s v="East"/>
    <s v="Agartala"/>
    <x v="2"/>
    <s v="Sales"/>
    <s v="Cash"/>
    <n v="65440"/>
    <x v="577"/>
    <s v="Meera"/>
    <s v="Q3"/>
    <x v="1"/>
    <s v="C472"/>
  </r>
  <r>
    <s v="T10578"/>
    <s v="2023-09-27"/>
    <s v="East"/>
    <s v="Kolkata"/>
    <x v="0"/>
    <s v="Marketing"/>
    <s v="UPI"/>
    <n v="193169"/>
    <x v="578"/>
    <s v="Karan"/>
    <s v="Q3"/>
    <x v="3"/>
    <s v="C292"/>
  </r>
  <r>
    <s v="T10579"/>
    <s v="2021-11-01"/>
    <s v="South"/>
    <s v="Chennai"/>
    <x v="1"/>
    <s v="Stocks"/>
    <s v="UPI"/>
    <n v="970847"/>
    <x v="579"/>
    <s v="David"/>
    <s v="Q4"/>
    <x v="0"/>
    <s v="C452"/>
  </r>
  <r>
    <s v="T10580"/>
    <s v="2025-08-24"/>
    <s v="West"/>
    <s v="Mumbai"/>
    <x v="0"/>
    <s v="Marketing"/>
    <s v="UPI"/>
    <n v="74514"/>
    <x v="580"/>
    <s v="David"/>
    <s v="Q3"/>
    <x v="4"/>
    <s v="C526"/>
  </r>
  <r>
    <s v="T10581"/>
    <s v="2022-11-22"/>
    <s v="East"/>
    <s v="Kolkata"/>
    <x v="0"/>
    <s v="Salary"/>
    <s v="UPI"/>
    <n v="33353"/>
    <x v="581"/>
    <s v="Arun"/>
    <s v="Q4"/>
    <x v="1"/>
    <s v="C125"/>
  </r>
  <r>
    <s v="T10582"/>
    <s v="2023-08-23"/>
    <s v="West"/>
    <s v="Pune"/>
    <x v="2"/>
    <s v="Service"/>
    <s v="UPI"/>
    <n v="127222"/>
    <x v="582"/>
    <s v="Priya"/>
    <s v="Q3"/>
    <x v="3"/>
    <s v="C261"/>
  </r>
  <r>
    <s v="T10583"/>
    <s v="2021-01-18"/>
    <s v="North"/>
    <s v="Chandigarh"/>
    <x v="0"/>
    <s v="Marketing"/>
    <s v="Bank Transfer"/>
    <n v="193084"/>
    <x v="583"/>
    <s v="Ravi"/>
    <s v="Q1"/>
    <x v="0"/>
    <s v="C925"/>
  </r>
  <r>
    <s v="T10584"/>
    <s v="2024-05-18"/>
    <s v="West"/>
    <s v="Pune"/>
    <x v="1"/>
    <s v="Stocks"/>
    <s v="UPI"/>
    <n v="202110"/>
    <x v="584"/>
    <s v="David"/>
    <s v="Q2"/>
    <x v="2"/>
    <s v="C399"/>
  </r>
  <r>
    <s v="T10585"/>
    <s v="2025-07-15"/>
    <s v="North"/>
    <s v="Delhi"/>
    <x v="2"/>
    <s v="Service"/>
    <s v="Cash"/>
    <n v="258406"/>
    <x v="585"/>
    <s v="Ravi"/>
    <s v="Q3"/>
    <x v="4"/>
    <s v="C538"/>
  </r>
  <r>
    <s v="T10586"/>
    <s v="2025-11-05"/>
    <s v="East"/>
    <s v="Kolkata"/>
    <x v="2"/>
    <s v="Sales"/>
    <s v="UPI"/>
    <n v="203793"/>
    <x v="586"/>
    <s v="Meera"/>
    <s v="Q4"/>
    <x v="4"/>
    <s v="C916"/>
  </r>
  <r>
    <s v="T10587"/>
    <s v="2021-01-17"/>
    <s v="South"/>
    <s v="Bangalore"/>
    <x v="0"/>
    <s v="Utilities"/>
    <s v="Cash"/>
    <n v="146612"/>
    <x v="587"/>
    <s v="Priya"/>
    <s v="Q1"/>
    <x v="0"/>
    <s v="C396"/>
  </r>
  <r>
    <s v="T10588"/>
    <s v="2021-09-01"/>
    <s v="South"/>
    <s v="Bangalore"/>
    <x v="0"/>
    <s v="Marketing"/>
    <s v="Cash"/>
    <n v="186166"/>
    <x v="588"/>
    <s v="Meera"/>
    <s v="Q3"/>
    <x v="0"/>
    <s v="C246"/>
  </r>
  <r>
    <s v="T10589"/>
    <s v="2024-10-18"/>
    <s v="North"/>
    <s v="Delhi"/>
    <x v="2"/>
    <s v="Service"/>
    <s v="Credit Card"/>
    <n v="249733"/>
    <x v="589"/>
    <s v="Meera"/>
    <s v="Q4"/>
    <x v="2"/>
    <s v="C233"/>
  </r>
  <r>
    <s v="T10590"/>
    <s v="2024-05-21"/>
    <s v="East"/>
    <s v="Kolkata"/>
    <x v="0"/>
    <s v="Office Supplies"/>
    <s v="UPI"/>
    <n v="127777"/>
    <x v="590"/>
    <s v="Karan"/>
    <s v="Q2"/>
    <x v="2"/>
    <s v="C218"/>
  </r>
  <r>
    <s v="T10591"/>
    <s v="2021-10-05"/>
    <s v="North"/>
    <s v="Lucknow"/>
    <x v="0"/>
    <s v="Utilities"/>
    <s v="Bank Transfer"/>
    <n v="162671"/>
    <x v="591"/>
    <s v="Priya"/>
    <s v="Q4"/>
    <x v="0"/>
    <s v="C960"/>
  </r>
  <r>
    <s v="T10592"/>
    <s v="2022-07-30"/>
    <s v="East"/>
    <s v="Bhubaneswar"/>
    <x v="0"/>
    <s v="Salary"/>
    <s v="Credit Card"/>
    <n v="180090"/>
    <x v="592"/>
    <s v="Priya"/>
    <s v="Q3"/>
    <x v="1"/>
    <s v="C747"/>
  </r>
  <r>
    <s v="T10593"/>
    <s v="2023-10-05"/>
    <s v="West"/>
    <s v="Pune"/>
    <x v="1"/>
    <s v="Mutual Funds"/>
    <s v="UPI"/>
    <n v="243000"/>
    <x v="593"/>
    <s v="Anita"/>
    <s v="Q4"/>
    <x v="3"/>
    <s v="C372"/>
  </r>
  <r>
    <s v="T10594"/>
    <s v="2021-11-06"/>
    <s v="South"/>
    <s v="Coimbatore"/>
    <x v="0"/>
    <s v="Office Supplies"/>
    <s v="Bank Transfer"/>
    <n v="19095"/>
    <x v="594"/>
    <s v="Arun"/>
    <s v="Q4"/>
    <x v="0"/>
    <s v="C165"/>
  </r>
  <r>
    <s v="T10595"/>
    <s v="2023-03-05"/>
    <s v="West"/>
    <s v="Pune"/>
    <x v="2"/>
    <s v="Subscription"/>
    <s v="Cash"/>
    <n v="23966"/>
    <x v="595"/>
    <s v="Ravi"/>
    <s v="Q1"/>
    <x v="3"/>
    <s v="C238"/>
  </r>
  <r>
    <s v="T10596"/>
    <s v="2025-09-03"/>
    <s v="South"/>
    <s v="Chennai"/>
    <x v="2"/>
    <s v="Service"/>
    <s v="UPI"/>
    <n v="140012"/>
    <x v="596"/>
    <s v="Anita"/>
    <s v="Q3"/>
    <x v="4"/>
    <s v="C127"/>
  </r>
  <r>
    <s v="T10597"/>
    <s v="2025-04-19"/>
    <s v="West"/>
    <s v="Pune"/>
    <x v="1"/>
    <s v="Stocks"/>
    <s v="UPI"/>
    <n v="570130"/>
    <x v="597"/>
    <s v="Ravi"/>
    <s v="Q2"/>
    <x v="4"/>
    <s v="C390"/>
  </r>
  <r>
    <s v="T10598"/>
    <s v="2022-12-04"/>
    <s v="South"/>
    <s v="Bangalore"/>
    <x v="0"/>
    <s v="Travel"/>
    <s v="UPI"/>
    <n v="74634"/>
    <x v="598"/>
    <s v="Ravi"/>
    <s v="Q4"/>
    <x v="1"/>
    <s v="C496"/>
  </r>
  <r>
    <s v="T10599"/>
    <s v="2021-08-29"/>
    <s v="South"/>
    <s v="Chennai"/>
    <x v="2"/>
    <s v="Sales"/>
    <s v="UPI"/>
    <n v="219558"/>
    <x v="599"/>
    <s v="David"/>
    <s v="Q3"/>
    <x v="0"/>
    <s v="C173"/>
  </r>
  <r>
    <s v="T10600"/>
    <s v="2023-02-07"/>
    <s v="South"/>
    <s v="Coimbatore"/>
    <x v="2"/>
    <s v="Commission"/>
    <s v="UPI"/>
    <n v="279575"/>
    <x v="600"/>
    <s v="Karan"/>
    <s v="Q1"/>
    <x v="3"/>
    <s v="C255"/>
  </r>
  <r>
    <s v="T10601"/>
    <s v="2025-06-03"/>
    <s v="North"/>
    <s v="Lucknow"/>
    <x v="2"/>
    <s v="Subscription"/>
    <s v="Credit Card"/>
    <n v="26072"/>
    <x v="601"/>
    <s v="Meera"/>
    <s v="Q2"/>
    <x v="4"/>
    <s v="C319"/>
  </r>
  <r>
    <s v="T10602"/>
    <s v="2025-12-31"/>
    <s v="South"/>
    <s v="Chennai"/>
    <x v="0"/>
    <s v="Marketing"/>
    <s v="Credit Card"/>
    <n v="92738"/>
    <x v="602"/>
    <s v="Ravi"/>
    <s v="Q4"/>
    <x v="4"/>
    <s v="C500"/>
  </r>
  <r>
    <s v="T10603"/>
    <s v="2021-03-06"/>
    <s v="North"/>
    <s v="Lucknow"/>
    <x v="0"/>
    <s v="Salary"/>
    <s v="Bank Transfer"/>
    <n v="5747"/>
    <x v="603"/>
    <s v="David"/>
    <s v="Q1"/>
    <x v="0"/>
    <s v="C463"/>
  </r>
  <r>
    <s v="T10604"/>
    <s v="2021-08-23"/>
    <s v="East"/>
    <s v="Bhubaneswar"/>
    <x v="3"/>
    <s v="Loan Disbursement"/>
    <s v="Credit Card"/>
    <n v="340296"/>
    <x v="604"/>
    <s v="David"/>
    <s v="Q3"/>
    <x v="0"/>
    <s v="C411"/>
  </r>
  <r>
    <s v="T10605"/>
    <s v="2024-04-18"/>
    <s v="South"/>
    <s v="Bangalore"/>
    <x v="2"/>
    <s v="Sales"/>
    <s v="Bank Transfer"/>
    <n v="135011"/>
    <x v="605"/>
    <s v="Karan"/>
    <s v="Q2"/>
    <x v="2"/>
    <s v="C544"/>
  </r>
  <r>
    <s v="T10606"/>
    <s v="2023-10-11"/>
    <s v="South"/>
    <s v="Bangalore"/>
    <x v="3"/>
    <s v="Loan Repayment"/>
    <s v="UPI"/>
    <n v="319465"/>
    <x v="606"/>
    <s v="Karan"/>
    <s v="Q4"/>
    <x v="3"/>
    <s v="C874"/>
  </r>
  <r>
    <s v="T10607"/>
    <s v="2024-05-27"/>
    <s v="East"/>
    <s v="Kolkata"/>
    <x v="2"/>
    <s v="Subscription"/>
    <s v="Credit Card"/>
    <n v="34030"/>
    <x v="607"/>
    <s v="Meera"/>
    <s v="Q2"/>
    <x v="2"/>
    <s v="C521"/>
  </r>
  <r>
    <s v="T10608"/>
    <s v="2025-03-07"/>
    <s v="West"/>
    <s v="Mumbai"/>
    <x v="0"/>
    <s v="Travel"/>
    <s v="UPI"/>
    <n v="49560"/>
    <x v="608"/>
    <s v="Arun"/>
    <s v="Q1"/>
    <x v="4"/>
    <s v="C851"/>
  </r>
  <r>
    <s v="T10609"/>
    <s v="2025-12-04"/>
    <s v="South"/>
    <s v="Chennai"/>
    <x v="3"/>
    <s v="Loan Repayment"/>
    <s v="UPI"/>
    <n v="384248"/>
    <x v="609"/>
    <s v="Priya"/>
    <s v="Q4"/>
    <x v="4"/>
    <s v="C321"/>
  </r>
  <r>
    <s v="T10610"/>
    <s v="2022-05-18"/>
    <s v="West"/>
    <s v="Ahmedabad"/>
    <x v="2"/>
    <s v="Commission"/>
    <s v="Credit Card"/>
    <n v="189209"/>
    <x v="610"/>
    <s v="Sneha"/>
    <s v="Q2"/>
    <x v="1"/>
    <s v="C209"/>
  </r>
  <r>
    <s v="T10611"/>
    <s v="2022-07-09"/>
    <s v="South"/>
    <s v="Coimbatore"/>
    <x v="2"/>
    <s v="Sales"/>
    <s v="Cash"/>
    <n v="152845"/>
    <x v="611"/>
    <s v="Ravi"/>
    <s v="Q3"/>
    <x v="1"/>
    <s v="C371"/>
  </r>
  <r>
    <s v="T10612"/>
    <s v="2023-11-07"/>
    <s v="West"/>
    <s v="Pune"/>
    <x v="0"/>
    <s v="Salary"/>
    <s v="Credit Card"/>
    <n v="166822"/>
    <x v="612"/>
    <s v="Ravi"/>
    <s v="Q4"/>
    <x v="3"/>
    <s v="C595"/>
  </r>
  <r>
    <s v="T10613"/>
    <s v="2024-12-23"/>
    <s v="East"/>
    <s v="Agartala"/>
    <x v="0"/>
    <s v="Office Supplies"/>
    <s v="Credit Card"/>
    <n v="199464"/>
    <x v="613"/>
    <s v="Sneha"/>
    <s v="Q4"/>
    <x v="2"/>
    <s v="C925"/>
  </r>
  <r>
    <s v="T10614"/>
    <s v="2025-11-13"/>
    <s v="East"/>
    <s v="Agartala"/>
    <x v="2"/>
    <s v="Service"/>
    <s v="Bank Transfer"/>
    <n v="249159"/>
    <x v="614"/>
    <s v="Priya"/>
    <s v="Q4"/>
    <x v="4"/>
    <s v="C719"/>
  </r>
  <r>
    <s v="T10615"/>
    <s v="2023-06-19"/>
    <s v="North"/>
    <s v="Chandigarh"/>
    <x v="1"/>
    <s v="Bonds"/>
    <s v="Credit Card"/>
    <n v="442111"/>
    <x v="615"/>
    <s v="Meera"/>
    <s v="Q2"/>
    <x v="3"/>
    <s v="C203"/>
  </r>
  <r>
    <s v="T10616"/>
    <s v="2022-12-14"/>
    <s v="South"/>
    <s v="Bangalore"/>
    <x v="0"/>
    <s v="Marketing"/>
    <s v="Credit Card"/>
    <n v="39329"/>
    <x v="616"/>
    <s v="Anita"/>
    <s v="Q4"/>
    <x v="1"/>
    <s v="C901"/>
  </r>
  <r>
    <s v="T10617"/>
    <s v="2025-10-05"/>
    <s v="East"/>
    <s v="Kolkata"/>
    <x v="2"/>
    <s v="Subscription"/>
    <s v="Credit Card"/>
    <n v="234102"/>
    <x v="617"/>
    <s v="Meera"/>
    <s v="Q4"/>
    <x v="4"/>
    <s v="C151"/>
  </r>
  <r>
    <s v="T10618"/>
    <s v="2021-03-29"/>
    <s v="North"/>
    <s v="Delhi"/>
    <x v="3"/>
    <s v="Loan Repayment"/>
    <s v="Credit Card"/>
    <n v="362104"/>
    <x v="618"/>
    <s v="Ravi"/>
    <s v="Q1"/>
    <x v="0"/>
    <s v="C628"/>
  </r>
  <r>
    <s v="T10619"/>
    <s v="2021-11-27"/>
    <s v="East"/>
    <s v="Agartala"/>
    <x v="0"/>
    <s v="Office Supplies"/>
    <s v="Credit Card"/>
    <n v="69178"/>
    <x v="619"/>
    <s v="Meera"/>
    <s v="Q4"/>
    <x v="0"/>
    <s v="C993"/>
  </r>
  <r>
    <s v="T10620"/>
    <s v="2021-04-27"/>
    <s v="East"/>
    <s v="Bhubaneswar"/>
    <x v="2"/>
    <s v="Sales"/>
    <s v="UPI"/>
    <n v="147982"/>
    <x v="620"/>
    <s v="Arun"/>
    <s v="Q2"/>
    <x v="0"/>
    <s v="C347"/>
  </r>
  <r>
    <s v="T10621"/>
    <s v="2021-01-01"/>
    <s v="East"/>
    <s v="Bhubaneswar"/>
    <x v="2"/>
    <s v="Subscription"/>
    <s v="Credit Card"/>
    <n v="130389"/>
    <x v="621"/>
    <s v="Meera"/>
    <s v="Q1"/>
    <x v="0"/>
    <s v="C149"/>
  </r>
  <r>
    <s v="T10622"/>
    <s v="2023-11-07"/>
    <s v="South"/>
    <s v="Coimbatore"/>
    <x v="0"/>
    <s v="Office Supplies"/>
    <s v="Credit Card"/>
    <n v="6250"/>
    <x v="622"/>
    <s v="Meera"/>
    <s v="Q4"/>
    <x v="3"/>
    <s v="C721"/>
  </r>
  <r>
    <s v="T10623"/>
    <s v="2024-07-06"/>
    <s v="South"/>
    <s v="Bangalore"/>
    <x v="0"/>
    <s v="Salary"/>
    <s v="Credit Card"/>
    <n v="185698"/>
    <x v="623"/>
    <s v="David"/>
    <s v="Q3"/>
    <x v="2"/>
    <s v="C253"/>
  </r>
  <r>
    <s v="T10624"/>
    <s v="2024-04-08"/>
    <s v="East"/>
    <s v="Bhubaneswar"/>
    <x v="2"/>
    <s v="Commission"/>
    <s v="Bank Transfer"/>
    <n v="138158"/>
    <x v="624"/>
    <s v="Priya"/>
    <s v="Q2"/>
    <x v="2"/>
    <s v="C837"/>
  </r>
  <r>
    <s v="T10625"/>
    <s v="2023-05-01"/>
    <s v="East"/>
    <s v="Agartala"/>
    <x v="3"/>
    <s v="Loan Disbursement"/>
    <s v="UPI"/>
    <n v="276399"/>
    <x v="625"/>
    <s v="Ravi"/>
    <s v="Q2"/>
    <x v="3"/>
    <s v="C785"/>
  </r>
  <r>
    <s v="T10626"/>
    <s v="2023-07-11"/>
    <s v="East"/>
    <s v="Bhubaneswar"/>
    <x v="0"/>
    <s v="Travel"/>
    <s v="Cash"/>
    <n v="128696"/>
    <x v="626"/>
    <s v="Sneha"/>
    <s v="Q3"/>
    <x v="3"/>
    <s v="C797"/>
  </r>
  <r>
    <s v="T10627"/>
    <s v="2022-12-15"/>
    <s v="North"/>
    <s v="Lucknow"/>
    <x v="0"/>
    <s v="Marketing"/>
    <s v="Bank Transfer"/>
    <n v="124395"/>
    <x v="627"/>
    <s v="Anita"/>
    <s v="Q4"/>
    <x v="1"/>
    <s v="C905"/>
  </r>
  <r>
    <s v="T10628"/>
    <s v="2021-12-26"/>
    <s v="South"/>
    <s v="Chennai"/>
    <x v="2"/>
    <s v="Sales"/>
    <s v="Credit Card"/>
    <n v="247647"/>
    <x v="628"/>
    <s v="Anita"/>
    <s v="Q4"/>
    <x v="0"/>
    <s v="C681"/>
  </r>
  <r>
    <s v="T10629"/>
    <s v="2023-08-19"/>
    <s v="South"/>
    <s v="Coimbatore"/>
    <x v="2"/>
    <s v="Service"/>
    <s v="UPI"/>
    <n v="240867"/>
    <x v="629"/>
    <s v="David"/>
    <s v="Q3"/>
    <x v="3"/>
    <s v="C258"/>
  </r>
  <r>
    <s v="T10630"/>
    <s v="2022-06-20"/>
    <s v="South"/>
    <s v="Bangalore"/>
    <x v="0"/>
    <s v="Marketing"/>
    <s v="Bank Transfer"/>
    <n v="56714"/>
    <x v="630"/>
    <s v="Karan"/>
    <s v="Q2"/>
    <x v="1"/>
    <s v="C393"/>
  </r>
  <r>
    <s v="T10631"/>
    <s v="2022-09-20"/>
    <s v="East"/>
    <s v="Agartala"/>
    <x v="0"/>
    <s v="Utilities"/>
    <s v="Credit Card"/>
    <n v="194833"/>
    <x v="631"/>
    <s v="Anita"/>
    <s v="Q3"/>
    <x v="1"/>
    <s v="C593"/>
  </r>
  <r>
    <s v="T10632"/>
    <s v="2021-07-12"/>
    <s v="South"/>
    <s v="Coimbatore"/>
    <x v="2"/>
    <s v="Service"/>
    <s v="Credit Card"/>
    <n v="157264"/>
    <x v="632"/>
    <s v="Anita"/>
    <s v="Q3"/>
    <x v="0"/>
    <s v="C971"/>
  </r>
  <r>
    <s v="T10633"/>
    <s v="2022-10-28"/>
    <s v="South"/>
    <s v="Coimbatore"/>
    <x v="0"/>
    <s v="Salary"/>
    <s v="Credit Card"/>
    <n v="64239"/>
    <x v="633"/>
    <s v="David"/>
    <s v="Q4"/>
    <x v="1"/>
    <s v="C811"/>
  </r>
  <r>
    <s v="T10634"/>
    <s v="2025-06-18"/>
    <s v="West"/>
    <s v="Pune"/>
    <x v="0"/>
    <s v="Marketing"/>
    <s v="Credit Card"/>
    <n v="133276"/>
    <x v="634"/>
    <s v="Ravi"/>
    <s v="Q2"/>
    <x v="4"/>
    <s v="C248"/>
  </r>
  <r>
    <s v="T10635"/>
    <s v="2021-10-05"/>
    <s v="West"/>
    <s v="Pune"/>
    <x v="2"/>
    <s v="Commission"/>
    <s v="Cash"/>
    <n v="85206"/>
    <x v="635"/>
    <s v="Karan"/>
    <s v="Q4"/>
    <x v="0"/>
    <s v="C545"/>
  </r>
  <r>
    <s v="T10636"/>
    <s v="2021-04-13"/>
    <s v="West"/>
    <s v="Pune"/>
    <x v="2"/>
    <s v="Commission"/>
    <s v="Cash"/>
    <n v="109753"/>
    <x v="636"/>
    <s v="Arun"/>
    <s v="Q2"/>
    <x v="0"/>
    <s v="C892"/>
  </r>
  <r>
    <s v="T10637"/>
    <s v="2022-09-23"/>
    <s v="East"/>
    <s v="Agartala"/>
    <x v="2"/>
    <s v="Subscription"/>
    <s v="Bank Transfer"/>
    <n v="289430"/>
    <x v="637"/>
    <s v="Priya"/>
    <s v="Q3"/>
    <x v="1"/>
    <s v="C468"/>
  </r>
  <r>
    <s v="T10638"/>
    <s v="2024-12-20"/>
    <s v="West"/>
    <s v="Pune"/>
    <x v="0"/>
    <s v="Marketing"/>
    <s v="Cash"/>
    <n v="77202"/>
    <x v="638"/>
    <s v="Meera"/>
    <s v="Q4"/>
    <x v="2"/>
    <s v="C974"/>
  </r>
  <r>
    <s v="T10639"/>
    <s v="2024-09-15"/>
    <s v="North"/>
    <s v="Lucknow"/>
    <x v="0"/>
    <s v="Salary"/>
    <s v="Cash"/>
    <n v="57241"/>
    <x v="639"/>
    <s v="Ravi"/>
    <s v="Q3"/>
    <x v="2"/>
    <s v="C380"/>
  </r>
  <r>
    <s v="T10640"/>
    <s v="2022-11-10"/>
    <s v="West"/>
    <s v="Mumbai"/>
    <x v="0"/>
    <s v="Travel"/>
    <s v="Credit Card"/>
    <n v="130438"/>
    <x v="640"/>
    <s v="David"/>
    <s v="Q4"/>
    <x v="1"/>
    <s v="C454"/>
  </r>
  <r>
    <s v="T10641"/>
    <s v="2025-01-27"/>
    <s v="West"/>
    <s v="Pune"/>
    <x v="0"/>
    <s v="Utilities"/>
    <s v="Cash"/>
    <n v="117623"/>
    <x v="641"/>
    <s v="Meera"/>
    <s v="Q1"/>
    <x v="4"/>
    <s v="C616"/>
  </r>
  <r>
    <s v="T10642"/>
    <s v="2021-06-26"/>
    <s v="East"/>
    <s v="Kolkata"/>
    <x v="2"/>
    <s v="Service"/>
    <s v="UPI"/>
    <n v="95645"/>
    <x v="642"/>
    <s v="Priya"/>
    <s v="Q2"/>
    <x v="0"/>
    <s v="C911"/>
  </r>
  <r>
    <s v="T10643"/>
    <s v="2021-04-22"/>
    <s v="South"/>
    <s v="Chennai"/>
    <x v="0"/>
    <s v="Salary"/>
    <s v="Cash"/>
    <n v="124772"/>
    <x v="643"/>
    <s v="David"/>
    <s v="Q2"/>
    <x v="0"/>
    <s v="C180"/>
  </r>
  <r>
    <s v="T10644"/>
    <s v="2024-02-15"/>
    <s v="West"/>
    <s v="Pune"/>
    <x v="2"/>
    <s v="Commission"/>
    <s v="Bank Transfer"/>
    <n v="61134"/>
    <x v="644"/>
    <s v="Priya"/>
    <s v="Q1"/>
    <x v="2"/>
    <s v="C941"/>
  </r>
  <r>
    <s v="T10645"/>
    <s v="2021-04-03"/>
    <s v="West"/>
    <s v="Pune"/>
    <x v="2"/>
    <s v="Subscription"/>
    <s v="Credit Card"/>
    <n v="276496"/>
    <x v="645"/>
    <s v="Anita"/>
    <s v="Q2"/>
    <x v="0"/>
    <s v="C868"/>
  </r>
  <r>
    <s v="T10646"/>
    <s v="2022-08-14"/>
    <s v="South"/>
    <s v="Coimbatore"/>
    <x v="0"/>
    <s v="Office Supplies"/>
    <s v="Credit Card"/>
    <n v="116588"/>
    <x v="646"/>
    <s v="Meera"/>
    <s v="Q3"/>
    <x v="1"/>
    <s v="C626"/>
  </r>
  <r>
    <s v="T10647"/>
    <s v="2025-07-08"/>
    <s v="North"/>
    <s v="Delhi"/>
    <x v="0"/>
    <s v="Utilities"/>
    <s v="UPI"/>
    <n v="135114"/>
    <x v="647"/>
    <s v="Anita"/>
    <s v="Q3"/>
    <x v="4"/>
    <s v="C459"/>
  </r>
  <r>
    <s v="T10648"/>
    <s v="2023-10-31"/>
    <s v="East"/>
    <s v="Kolkata"/>
    <x v="2"/>
    <s v="Sales"/>
    <s v="Credit Card"/>
    <n v="81028"/>
    <x v="648"/>
    <s v="Arun"/>
    <s v="Q4"/>
    <x v="3"/>
    <s v="C812"/>
  </r>
  <r>
    <s v="T10649"/>
    <s v="2024-04-26"/>
    <s v="North"/>
    <s v="Delhi"/>
    <x v="2"/>
    <s v="Sales"/>
    <s v="Credit Card"/>
    <n v="53212"/>
    <x v="649"/>
    <s v="David"/>
    <s v="Q2"/>
    <x v="2"/>
    <s v="C935"/>
  </r>
  <r>
    <s v="T10650"/>
    <s v="2023-08-05"/>
    <s v="South"/>
    <s v="Coimbatore"/>
    <x v="2"/>
    <s v="Service"/>
    <s v="UPI"/>
    <n v="215826"/>
    <x v="650"/>
    <s v="Sneha"/>
    <s v="Q3"/>
    <x v="3"/>
    <s v="C794"/>
  </r>
  <r>
    <s v="T10651"/>
    <s v="2024-03-04"/>
    <s v="North"/>
    <s v="Delhi"/>
    <x v="2"/>
    <s v="Subscription"/>
    <s v="Bank Transfer"/>
    <n v="111949"/>
    <x v="651"/>
    <s v="Meera"/>
    <s v="Q1"/>
    <x v="2"/>
    <s v="C467"/>
  </r>
  <r>
    <s v="T10652"/>
    <s v="2025-10-02"/>
    <s v="North"/>
    <s v="Lucknow"/>
    <x v="0"/>
    <s v="Office Supplies"/>
    <s v="UPI"/>
    <n v="68202"/>
    <x v="652"/>
    <s v="Ravi"/>
    <s v="Q4"/>
    <x v="4"/>
    <s v="C720"/>
  </r>
  <r>
    <s v="T10653"/>
    <s v="2021-09-15"/>
    <s v="South"/>
    <s v="Coimbatore"/>
    <x v="2"/>
    <s v="Subscription"/>
    <s v="Cash"/>
    <n v="154205"/>
    <x v="653"/>
    <s v="Ravi"/>
    <s v="Q3"/>
    <x v="0"/>
    <s v="C883"/>
  </r>
  <r>
    <s v="T10654"/>
    <s v="2022-01-25"/>
    <s v="South"/>
    <s v="Bangalore"/>
    <x v="2"/>
    <s v="Service"/>
    <s v="Cash"/>
    <n v="199136"/>
    <x v="654"/>
    <s v="Meera"/>
    <s v="Q1"/>
    <x v="1"/>
    <s v="C228"/>
  </r>
  <r>
    <s v="T10655"/>
    <s v="2025-10-19"/>
    <s v="East"/>
    <s v="Bhubaneswar"/>
    <x v="2"/>
    <s v="Commission"/>
    <s v="Credit Card"/>
    <n v="183499"/>
    <x v="655"/>
    <s v="Anita"/>
    <s v="Q4"/>
    <x v="4"/>
    <s v="C429"/>
  </r>
  <r>
    <s v="T10656"/>
    <s v="2025-11-06"/>
    <s v="West"/>
    <s v="Pune"/>
    <x v="2"/>
    <s v="Sales"/>
    <s v="Credit Card"/>
    <n v="74386"/>
    <x v="656"/>
    <s v="Arun"/>
    <s v="Q4"/>
    <x v="4"/>
    <s v="C942"/>
  </r>
  <r>
    <s v="T10657"/>
    <s v="2025-06-13"/>
    <s v="West"/>
    <s v="Ahmedabad"/>
    <x v="2"/>
    <s v="Subscription"/>
    <s v="UPI"/>
    <n v="59817"/>
    <x v="657"/>
    <s v="Arun"/>
    <s v="Q2"/>
    <x v="4"/>
    <s v="C518"/>
  </r>
  <r>
    <s v="T10658"/>
    <s v="2022-06-22"/>
    <s v="North"/>
    <s v="Lucknow"/>
    <x v="2"/>
    <s v="Subscription"/>
    <s v="Credit Card"/>
    <n v="121842"/>
    <x v="658"/>
    <s v="David"/>
    <s v="Q2"/>
    <x v="1"/>
    <s v="C668"/>
  </r>
  <r>
    <s v="T10659"/>
    <s v="2023-04-16"/>
    <s v="South"/>
    <s v="Coimbatore"/>
    <x v="0"/>
    <s v="Travel"/>
    <s v="Credit Card"/>
    <n v="163793"/>
    <x v="659"/>
    <s v="Sneha"/>
    <s v="Q2"/>
    <x v="3"/>
    <s v="C968"/>
  </r>
  <r>
    <s v="T10660"/>
    <s v="2024-02-21"/>
    <s v="North"/>
    <s v="Chandigarh"/>
    <x v="3"/>
    <s v="Loan Disbursement"/>
    <s v="Bank Transfer"/>
    <n v="468979"/>
    <x v="660"/>
    <s v="Arun"/>
    <s v="Q1"/>
    <x v="2"/>
    <s v="C178"/>
  </r>
  <r>
    <s v="T10661"/>
    <s v="2024-03-24"/>
    <s v="South"/>
    <s v="Bangalore"/>
    <x v="2"/>
    <s v="Commission"/>
    <s v="Bank Transfer"/>
    <n v="284203"/>
    <x v="661"/>
    <s v="Meera"/>
    <s v="Q1"/>
    <x v="2"/>
    <s v="C732"/>
  </r>
  <r>
    <s v="T10662"/>
    <s v="2022-08-28"/>
    <s v="East"/>
    <s v="Kolkata"/>
    <x v="2"/>
    <s v="Commission"/>
    <s v="Cash"/>
    <n v="91997"/>
    <x v="662"/>
    <s v="Meera"/>
    <s v="Q3"/>
    <x v="1"/>
    <s v="C584"/>
  </r>
  <r>
    <s v="T10663"/>
    <s v="2021-12-14"/>
    <s v="East"/>
    <s v="Bhubaneswar"/>
    <x v="0"/>
    <s v="Utilities"/>
    <s v="Cash"/>
    <n v="105333"/>
    <x v="663"/>
    <s v="Meera"/>
    <s v="Q4"/>
    <x v="0"/>
    <s v="C729"/>
  </r>
  <r>
    <s v="T10664"/>
    <s v="2021-09-09"/>
    <s v="East"/>
    <s v="Bhubaneswar"/>
    <x v="2"/>
    <s v="Commission"/>
    <s v="Credit Card"/>
    <n v="239247"/>
    <x v="664"/>
    <s v="Ravi"/>
    <s v="Q3"/>
    <x v="0"/>
    <s v="C399"/>
  </r>
  <r>
    <s v="T10665"/>
    <s v="2023-05-22"/>
    <s v="North"/>
    <s v="Chandigarh"/>
    <x v="0"/>
    <s v="Travel"/>
    <s v="Credit Card"/>
    <n v="162710"/>
    <x v="665"/>
    <s v="Ravi"/>
    <s v="Q2"/>
    <x v="3"/>
    <s v="C410"/>
  </r>
  <r>
    <s v="T10666"/>
    <s v="2024-06-26"/>
    <s v="East"/>
    <s v="Bhubaneswar"/>
    <x v="0"/>
    <s v="Salary"/>
    <s v="Bank Transfer"/>
    <n v="111720"/>
    <x v="666"/>
    <s v="Meera"/>
    <s v="Q2"/>
    <x v="2"/>
    <s v="C318"/>
  </r>
  <r>
    <s v="T10667"/>
    <s v="2024-06-07"/>
    <s v="North"/>
    <s v="Chandigarh"/>
    <x v="0"/>
    <s v="Utilities"/>
    <s v="Cash"/>
    <n v="85307"/>
    <x v="667"/>
    <s v="Anita"/>
    <s v="Q2"/>
    <x v="2"/>
    <s v="C195"/>
  </r>
  <r>
    <s v="T10668"/>
    <s v="2025-10-31"/>
    <s v="South"/>
    <s v="Bangalore"/>
    <x v="0"/>
    <s v="Travel"/>
    <s v="Bank Transfer"/>
    <n v="132057"/>
    <x v="668"/>
    <s v="Sneha"/>
    <s v="Q4"/>
    <x v="4"/>
    <s v="C506"/>
  </r>
  <r>
    <s v="T10669"/>
    <s v="2023-04-06"/>
    <s v="West"/>
    <s v="Ahmedabad"/>
    <x v="2"/>
    <s v="Commission"/>
    <s v="Bank Transfer"/>
    <n v="207410"/>
    <x v="669"/>
    <s v="Meera"/>
    <s v="Q2"/>
    <x v="3"/>
    <s v="C545"/>
  </r>
  <r>
    <s v="T10670"/>
    <s v="2023-04-05"/>
    <s v="South"/>
    <s v="Coimbatore"/>
    <x v="0"/>
    <s v="Salary"/>
    <s v="Credit Card"/>
    <n v="98145"/>
    <x v="670"/>
    <s v="Anita"/>
    <s v="Q2"/>
    <x v="3"/>
    <s v="C291"/>
  </r>
  <r>
    <s v="T10671"/>
    <s v="2021-03-08"/>
    <s v="North"/>
    <s v="Lucknow"/>
    <x v="0"/>
    <s v="Utilities"/>
    <s v="Credit Card"/>
    <n v="123500"/>
    <x v="671"/>
    <s v="Sneha"/>
    <s v="Q1"/>
    <x v="0"/>
    <s v="C239"/>
  </r>
  <r>
    <s v="T10672"/>
    <s v="2025-06-01"/>
    <s v="East"/>
    <s v="Kolkata"/>
    <x v="0"/>
    <s v="Salary"/>
    <s v="Cash"/>
    <n v="186992"/>
    <x v="672"/>
    <s v="Karan"/>
    <s v="Q2"/>
    <x v="4"/>
    <s v="C414"/>
  </r>
  <r>
    <s v="T10673"/>
    <s v="2023-11-11"/>
    <s v="South"/>
    <s v="Coimbatore"/>
    <x v="0"/>
    <s v="Travel"/>
    <s v="Cash"/>
    <n v="190382"/>
    <x v="673"/>
    <s v="Karan"/>
    <s v="Q4"/>
    <x v="3"/>
    <s v="C918"/>
  </r>
  <r>
    <s v="T10674"/>
    <s v="2021-03-05"/>
    <s v="South"/>
    <s v="Chennai"/>
    <x v="0"/>
    <s v="Travel"/>
    <s v="Credit Card"/>
    <n v="76265"/>
    <x v="674"/>
    <s v="Priya"/>
    <s v="Q1"/>
    <x v="0"/>
    <s v="C141"/>
  </r>
  <r>
    <s v="T10675"/>
    <s v="2021-02-25"/>
    <s v="North"/>
    <s v="Chandigarh"/>
    <x v="1"/>
    <s v="Stocks"/>
    <s v="UPI"/>
    <n v="985847"/>
    <x v="675"/>
    <s v="Sneha"/>
    <s v="Q1"/>
    <x v="0"/>
    <s v="C230"/>
  </r>
  <r>
    <s v="T10676"/>
    <s v="2025-09-12"/>
    <s v="South"/>
    <s v="Coimbatore"/>
    <x v="2"/>
    <s v="Sales"/>
    <s v="Credit Card"/>
    <n v="278203"/>
    <x v="676"/>
    <s v="Priya"/>
    <s v="Q3"/>
    <x v="4"/>
    <s v="C607"/>
  </r>
  <r>
    <s v="T10677"/>
    <s v="2022-05-17"/>
    <s v="North"/>
    <s v="Chandigarh"/>
    <x v="2"/>
    <s v="Subscription"/>
    <s v="Cash"/>
    <n v="30117"/>
    <x v="677"/>
    <s v="Karan"/>
    <s v="Q2"/>
    <x v="1"/>
    <s v="C365"/>
  </r>
  <r>
    <s v="T10678"/>
    <s v="2024-11-16"/>
    <s v="East"/>
    <s v="Agartala"/>
    <x v="2"/>
    <s v="Sales"/>
    <s v="Credit Card"/>
    <n v="93593"/>
    <x v="678"/>
    <s v="Arun"/>
    <s v="Q4"/>
    <x v="2"/>
    <s v="C667"/>
  </r>
  <r>
    <s v="T10679"/>
    <s v="2023-03-03"/>
    <s v="North"/>
    <s v="Delhi"/>
    <x v="2"/>
    <s v="Service"/>
    <s v="Bank Transfer"/>
    <n v="283318"/>
    <x v="679"/>
    <s v="Sneha"/>
    <s v="Q1"/>
    <x v="3"/>
    <s v="C215"/>
  </r>
  <r>
    <s v="T10680"/>
    <s v="2022-10-15"/>
    <s v="East"/>
    <s v="Bhubaneswar"/>
    <x v="0"/>
    <s v="Travel"/>
    <s v="Credit Card"/>
    <n v="87036"/>
    <x v="680"/>
    <s v="Anita"/>
    <s v="Q4"/>
    <x v="1"/>
    <s v="C364"/>
  </r>
  <r>
    <s v="T10681"/>
    <s v="2025-06-04"/>
    <s v="North"/>
    <s v="Chandigarh"/>
    <x v="2"/>
    <s v="Sales"/>
    <s v="Credit Card"/>
    <n v="89045"/>
    <x v="681"/>
    <s v="Meera"/>
    <s v="Q2"/>
    <x v="4"/>
    <s v="C378"/>
  </r>
  <r>
    <s v="T10682"/>
    <s v="2024-07-31"/>
    <s v="North"/>
    <s v="Chandigarh"/>
    <x v="2"/>
    <s v="Commission"/>
    <s v="Cash"/>
    <n v="280131"/>
    <x v="682"/>
    <s v="Ravi"/>
    <s v="Q3"/>
    <x v="2"/>
    <s v="C358"/>
  </r>
  <r>
    <s v="T10683"/>
    <s v="2023-09-03"/>
    <s v="East"/>
    <s v="Bhubaneswar"/>
    <x v="2"/>
    <s v="Commission"/>
    <s v="Cash"/>
    <n v="154419"/>
    <x v="683"/>
    <s v="Anita"/>
    <s v="Q3"/>
    <x v="3"/>
    <s v="C460"/>
  </r>
  <r>
    <s v="T10684"/>
    <s v="2021-02-10"/>
    <s v="North"/>
    <s v="Lucknow"/>
    <x v="0"/>
    <s v="Salary"/>
    <s v="UPI"/>
    <n v="51568"/>
    <x v="684"/>
    <s v="Meera"/>
    <s v="Q1"/>
    <x v="0"/>
    <s v="C371"/>
  </r>
  <r>
    <s v="T10685"/>
    <s v="2021-05-25"/>
    <s v="West"/>
    <s v="Mumbai"/>
    <x v="2"/>
    <s v="Service"/>
    <s v="Bank Transfer"/>
    <n v="283561"/>
    <x v="685"/>
    <s v="Sneha"/>
    <s v="Q2"/>
    <x v="0"/>
    <s v="C617"/>
  </r>
  <r>
    <s v="T10686"/>
    <s v="2022-05-30"/>
    <s v="East"/>
    <s v="Bhubaneswar"/>
    <x v="2"/>
    <s v="Sales"/>
    <s v="UPI"/>
    <n v="159700"/>
    <x v="686"/>
    <s v="Arun"/>
    <s v="Q2"/>
    <x v="1"/>
    <s v="C520"/>
  </r>
  <r>
    <s v="T10687"/>
    <s v="2021-04-18"/>
    <s v="North"/>
    <s v="Lucknow"/>
    <x v="2"/>
    <s v="Subscription"/>
    <s v="Bank Transfer"/>
    <n v="44879"/>
    <x v="687"/>
    <s v="Priya"/>
    <s v="Q2"/>
    <x v="0"/>
    <s v="C211"/>
  </r>
  <r>
    <s v="T10688"/>
    <s v="2024-11-25"/>
    <s v="North"/>
    <s v="Chandigarh"/>
    <x v="2"/>
    <s v="Subscription"/>
    <s v="Credit Card"/>
    <n v="252422"/>
    <x v="688"/>
    <s v="Karan"/>
    <s v="Q4"/>
    <x v="2"/>
    <s v="C314"/>
  </r>
  <r>
    <s v="T10689"/>
    <s v="2021-06-21"/>
    <s v="South"/>
    <s v="Bangalore"/>
    <x v="0"/>
    <s v="Office Supplies"/>
    <s v="Cash"/>
    <n v="88372"/>
    <x v="689"/>
    <s v="Sneha"/>
    <s v="Q2"/>
    <x v="0"/>
    <s v="C962"/>
  </r>
  <r>
    <s v="T10690"/>
    <s v="2025-06-24"/>
    <s v="East"/>
    <s v="Bhubaneswar"/>
    <x v="2"/>
    <s v="Commission"/>
    <s v="UPI"/>
    <n v="172230"/>
    <x v="690"/>
    <s v="Ravi"/>
    <s v="Q2"/>
    <x v="4"/>
    <s v="C582"/>
  </r>
  <r>
    <s v="T10691"/>
    <s v="2021-05-04"/>
    <s v="North"/>
    <s v="Lucknow"/>
    <x v="2"/>
    <s v="Subscription"/>
    <s v="UPI"/>
    <n v="118324"/>
    <x v="691"/>
    <s v="Priya"/>
    <s v="Q2"/>
    <x v="0"/>
    <s v="C394"/>
  </r>
  <r>
    <s v="T10692"/>
    <s v="2024-02-28"/>
    <s v="East"/>
    <s v="Bhubaneswar"/>
    <x v="2"/>
    <s v="Commission"/>
    <s v="Bank Transfer"/>
    <n v="49529"/>
    <x v="692"/>
    <s v="Priya"/>
    <s v="Q1"/>
    <x v="2"/>
    <s v="C756"/>
  </r>
  <r>
    <s v="T10693"/>
    <s v="2025-02-22"/>
    <s v="South"/>
    <s v="Bangalore"/>
    <x v="2"/>
    <s v="Subscription"/>
    <s v="Bank Transfer"/>
    <n v="99925"/>
    <x v="693"/>
    <s v="Anita"/>
    <s v="Q1"/>
    <x v="4"/>
    <s v="C471"/>
  </r>
  <r>
    <s v="T10694"/>
    <s v="2025-06-10"/>
    <s v="South"/>
    <s v="Coimbatore"/>
    <x v="2"/>
    <s v="Sales"/>
    <s v="UPI"/>
    <n v="249355"/>
    <x v="694"/>
    <s v="Priya"/>
    <s v="Q2"/>
    <x v="4"/>
    <s v="C783"/>
  </r>
  <r>
    <s v="T10695"/>
    <s v="2025-09-03"/>
    <s v="South"/>
    <s v="Bangalore"/>
    <x v="0"/>
    <s v="Salary"/>
    <s v="UPI"/>
    <n v="55518"/>
    <x v="695"/>
    <s v="Meera"/>
    <s v="Q3"/>
    <x v="4"/>
    <s v="C314"/>
  </r>
  <r>
    <s v="T10696"/>
    <s v="2025-08-05"/>
    <s v="North"/>
    <s v="Chandigarh"/>
    <x v="2"/>
    <s v="Commission"/>
    <s v="UPI"/>
    <n v="291905"/>
    <x v="696"/>
    <s v="David"/>
    <s v="Q3"/>
    <x v="4"/>
    <s v="C129"/>
  </r>
  <r>
    <s v="T10697"/>
    <s v="2022-03-15"/>
    <s v="South"/>
    <s v="Bangalore"/>
    <x v="0"/>
    <s v="Utilities"/>
    <s v="UPI"/>
    <n v="80209"/>
    <x v="697"/>
    <s v="David"/>
    <s v="Q1"/>
    <x v="1"/>
    <s v="C624"/>
  </r>
  <r>
    <s v="T10698"/>
    <s v="2024-05-15"/>
    <s v="North"/>
    <s v="Chandigarh"/>
    <x v="2"/>
    <s v="Commission"/>
    <s v="Credit Card"/>
    <n v="59672"/>
    <x v="698"/>
    <s v="Sneha"/>
    <s v="Q2"/>
    <x v="2"/>
    <s v="C695"/>
  </r>
  <r>
    <s v="T10699"/>
    <s v="2021-09-13"/>
    <s v="West"/>
    <s v="Ahmedabad"/>
    <x v="2"/>
    <s v="Subscription"/>
    <s v="UPI"/>
    <n v="63341"/>
    <x v="699"/>
    <s v="Meera"/>
    <s v="Q3"/>
    <x v="0"/>
    <s v="C976"/>
  </r>
  <r>
    <s v="T10700"/>
    <s v="2022-06-05"/>
    <s v="South"/>
    <s v="Bangalore"/>
    <x v="2"/>
    <s v="Service"/>
    <s v="Cash"/>
    <n v="198842"/>
    <x v="700"/>
    <s v="Sneha"/>
    <s v="Q2"/>
    <x v="1"/>
    <s v="C765"/>
  </r>
  <r>
    <s v="T10701"/>
    <s v="2023-04-18"/>
    <s v="North"/>
    <s v="Lucknow"/>
    <x v="0"/>
    <s v="Travel"/>
    <s v="UPI"/>
    <n v="174726"/>
    <x v="701"/>
    <s v="Priya"/>
    <s v="Q2"/>
    <x v="3"/>
    <s v="C572"/>
  </r>
  <r>
    <s v="T10702"/>
    <s v="2024-06-11"/>
    <s v="South"/>
    <s v="Coimbatore"/>
    <x v="2"/>
    <s v="Subscription"/>
    <s v="Cash"/>
    <n v="216435"/>
    <x v="702"/>
    <s v="Arun"/>
    <s v="Q2"/>
    <x v="2"/>
    <s v="C465"/>
  </r>
  <r>
    <s v="T10703"/>
    <s v="2024-06-07"/>
    <s v="North"/>
    <s v="Chandigarh"/>
    <x v="0"/>
    <s v="Salary"/>
    <s v="UPI"/>
    <n v="97091"/>
    <x v="703"/>
    <s v="Anita"/>
    <s v="Q2"/>
    <x v="2"/>
    <s v="C889"/>
  </r>
  <r>
    <s v="T10704"/>
    <s v="2021-07-24"/>
    <s v="West"/>
    <s v="Ahmedabad"/>
    <x v="2"/>
    <s v="Commission"/>
    <s v="UPI"/>
    <n v="260656"/>
    <x v="704"/>
    <s v="David"/>
    <s v="Q3"/>
    <x v="0"/>
    <s v="C380"/>
  </r>
  <r>
    <s v="T10705"/>
    <s v="2021-06-18"/>
    <s v="West"/>
    <s v="Pune"/>
    <x v="0"/>
    <s v="Office Supplies"/>
    <s v="UPI"/>
    <n v="77187"/>
    <x v="705"/>
    <s v="Karan"/>
    <s v="Q2"/>
    <x v="0"/>
    <s v="C132"/>
  </r>
  <r>
    <s v="T10706"/>
    <s v="2022-09-01"/>
    <s v="North"/>
    <s v="Delhi"/>
    <x v="0"/>
    <s v="Marketing"/>
    <s v="Cash"/>
    <n v="193013"/>
    <x v="706"/>
    <s v="Ravi"/>
    <s v="Q3"/>
    <x v="1"/>
    <s v="C599"/>
  </r>
  <r>
    <s v="T10707"/>
    <s v="2024-07-23"/>
    <s v="West"/>
    <s v="Ahmedabad"/>
    <x v="2"/>
    <s v="Commission"/>
    <s v="UPI"/>
    <n v="68668"/>
    <x v="707"/>
    <s v="Arun"/>
    <s v="Q3"/>
    <x v="2"/>
    <s v="C412"/>
  </r>
  <r>
    <s v="T10708"/>
    <s v="2024-10-27"/>
    <s v="North"/>
    <s v="Delhi"/>
    <x v="0"/>
    <s v="Travel"/>
    <s v="Credit Card"/>
    <n v="63723"/>
    <x v="708"/>
    <s v="David"/>
    <s v="Q4"/>
    <x v="2"/>
    <s v="C411"/>
  </r>
  <r>
    <s v="T10709"/>
    <s v="2022-05-28"/>
    <s v="North"/>
    <s v="Delhi"/>
    <x v="0"/>
    <s v="Office Supplies"/>
    <s v="Bank Transfer"/>
    <n v="170103"/>
    <x v="709"/>
    <s v="Meera"/>
    <s v="Q2"/>
    <x v="1"/>
    <s v="C868"/>
  </r>
  <r>
    <s v="T10710"/>
    <s v="2023-09-04"/>
    <s v="East"/>
    <s v="Bhubaneswar"/>
    <x v="2"/>
    <s v="Service"/>
    <s v="UPI"/>
    <n v="107911"/>
    <x v="710"/>
    <s v="David"/>
    <s v="Q3"/>
    <x v="3"/>
    <s v="C357"/>
  </r>
  <r>
    <s v="T10711"/>
    <s v="2021-09-11"/>
    <s v="East"/>
    <s v="Kolkata"/>
    <x v="0"/>
    <s v="Marketing"/>
    <s v="Credit Card"/>
    <n v="115888"/>
    <x v="711"/>
    <s v="Karan"/>
    <s v="Q3"/>
    <x v="0"/>
    <s v="C918"/>
  </r>
  <r>
    <s v="T10712"/>
    <s v="2025-10-20"/>
    <s v="East"/>
    <s v="Kolkata"/>
    <x v="2"/>
    <s v="Sales"/>
    <s v="UPI"/>
    <n v="180482"/>
    <x v="712"/>
    <s v="Meera"/>
    <s v="Q4"/>
    <x v="4"/>
    <s v="C410"/>
  </r>
  <r>
    <s v="T10713"/>
    <s v="2023-01-25"/>
    <s v="West"/>
    <s v="Mumbai"/>
    <x v="0"/>
    <s v="Salary"/>
    <s v="Bank Transfer"/>
    <n v="198592"/>
    <x v="713"/>
    <s v="Karan"/>
    <s v="Q1"/>
    <x v="3"/>
    <s v="C618"/>
  </r>
  <r>
    <s v="T10714"/>
    <s v="2023-03-07"/>
    <s v="North"/>
    <s v="Lucknow"/>
    <x v="0"/>
    <s v="Travel"/>
    <s v="Credit Card"/>
    <n v="177568"/>
    <x v="714"/>
    <s v="Ravi"/>
    <s v="Q1"/>
    <x v="3"/>
    <s v="C357"/>
  </r>
  <r>
    <s v="T10715"/>
    <s v="2022-04-28"/>
    <s v="North"/>
    <s v="Chandigarh"/>
    <x v="1"/>
    <s v="Mutual Funds"/>
    <s v="Cash"/>
    <n v="827814"/>
    <x v="715"/>
    <s v="Anita"/>
    <s v="Q2"/>
    <x v="1"/>
    <s v="C200"/>
  </r>
  <r>
    <s v="T10716"/>
    <s v="2023-05-26"/>
    <s v="South"/>
    <s v="Bangalore"/>
    <x v="2"/>
    <s v="Sales"/>
    <s v="Cash"/>
    <n v="202396"/>
    <x v="716"/>
    <s v="Sneha"/>
    <s v="Q2"/>
    <x v="3"/>
    <s v="C787"/>
  </r>
  <r>
    <s v="T10717"/>
    <s v="2025-02-15"/>
    <s v="North"/>
    <s v="Chandigarh"/>
    <x v="0"/>
    <s v="Utilities"/>
    <s v="Bank Transfer"/>
    <n v="115680"/>
    <x v="717"/>
    <s v="David"/>
    <s v="Q1"/>
    <x v="4"/>
    <s v="C605"/>
  </r>
  <r>
    <s v="T10718"/>
    <s v="2024-12-11"/>
    <s v="North"/>
    <s v="Delhi"/>
    <x v="2"/>
    <s v="Service"/>
    <s v="Bank Transfer"/>
    <n v="30403"/>
    <x v="718"/>
    <s v="Sneha"/>
    <s v="Q4"/>
    <x v="2"/>
    <s v="C141"/>
  </r>
  <r>
    <s v="T10719"/>
    <s v="2022-10-17"/>
    <s v="East"/>
    <s v="Agartala"/>
    <x v="2"/>
    <s v="Service"/>
    <s v="Bank Transfer"/>
    <n v="273033"/>
    <x v="719"/>
    <s v="Priya"/>
    <s v="Q4"/>
    <x v="1"/>
    <s v="C119"/>
  </r>
  <r>
    <s v="T10720"/>
    <s v="2022-03-30"/>
    <s v="West"/>
    <s v="Pune"/>
    <x v="3"/>
    <s v="Loan Disbursement"/>
    <s v="Credit Card"/>
    <n v="286470"/>
    <x v="720"/>
    <s v="Meera"/>
    <s v="Q1"/>
    <x v="1"/>
    <s v="C979"/>
  </r>
  <r>
    <s v="T10721"/>
    <s v="2025-11-24"/>
    <s v="North"/>
    <s v="Chandigarh"/>
    <x v="0"/>
    <s v="Travel"/>
    <s v="UPI"/>
    <n v="95038"/>
    <x v="721"/>
    <s v="Arun"/>
    <s v="Q4"/>
    <x v="4"/>
    <s v="C794"/>
  </r>
  <r>
    <s v="T10722"/>
    <s v="2023-03-31"/>
    <s v="North"/>
    <s v="Chandigarh"/>
    <x v="0"/>
    <s v="Travel"/>
    <s v="Cash"/>
    <n v="131342"/>
    <x v="722"/>
    <s v="Meera"/>
    <s v="Q1"/>
    <x v="3"/>
    <s v="C950"/>
  </r>
  <r>
    <s v="T10723"/>
    <s v="2024-08-09"/>
    <s v="West"/>
    <s v="Mumbai"/>
    <x v="0"/>
    <s v="Marketing"/>
    <s v="UPI"/>
    <n v="66550"/>
    <x v="723"/>
    <s v="Ravi"/>
    <s v="Q3"/>
    <x v="2"/>
    <s v="C881"/>
  </r>
  <r>
    <s v="T10724"/>
    <s v="2021-07-16"/>
    <s v="North"/>
    <s v="Lucknow"/>
    <x v="0"/>
    <s v="Office Supplies"/>
    <s v="Cash"/>
    <n v="111799"/>
    <x v="724"/>
    <s v="Karan"/>
    <s v="Q3"/>
    <x v="0"/>
    <s v="C557"/>
  </r>
  <r>
    <s v="T10725"/>
    <s v="2025-08-08"/>
    <s v="South"/>
    <s v="Bangalore"/>
    <x v="1"/>
    <s v="FD"/>
    <s v="UPI"/>
    <n v="322185"/>
    <x v="725"/>
    <s v="Sneha"/>
    <s v="Q3"/>
    <x v="4"/>
    <s v="C255"/>
  </r>
  <r>
    <s v="T10726"/>
    <s v="2025-04-29"/>
    <s v="South"/>
    <s v="Coimbatore"/>
    <x v="2"/>
    <s v="Service"/>
    <s v="Bank Transfer"/>
    <n v="200464"/>
    <x v="726"/>
    <s v="Priya"/>
    <s v="Q2"/>
    <x v="4"/>
    <s v="C346"/>
  </r>
  <r>
    <s v="T10727"/>
    <s v="2025-11-06"/>
    <s v="West"/>
    <s v="Ahmedabad"/>
    <x v="1"/>
    <s v="Mutual Funds"/>
    <s v="Cash"/>
    <n v="759438"/>
    <x v="727"/>
    <s v="Arun"/>
    <s v="Q4"/>
    <x v="4"/>
    <s v="C401"/>
  </r>
  <r>
    <s v="T10728"/>
    <s v="2021-07-28"/>
    <s v="East"/>
    <s v="Bhubaneswar"/>
    <x v="0"/>
    <s v="Office Supplies"/>
    <s v="Bank Transfer"/>
    <n v="80626"/>
    <x v="728"/>
    <s v="Arun"/>
    <s v="Q3"/>
    <x v="0"/>
    <s v="C201"/>
  </r>
  <r>
    <s v="T10729"/>
    <s v="2021-10-31"/>
    <s v="South"/>
    <s v="Coimbatore"/>
    <x v="2"/>
    <s v="Commission"/>
    <s v="Credit Card"/>
    <n v="261779"/>
    <x v="729"/>
    <s v="Meera"/>
    <s v="Q4"/>
    <x v="0"/>
    <s v="C695"/>
  </r>
  <r>
    <s v="T10730"/>
    <s v="2021-03-03"/>
    <s v="South"/>
    <s v="Bangalore"/>
    <x v="2"/>
    <s v="Sales"/>
    <s v="Cash"/>
    <n v="280426"/>
    <x v="730"/>
    <s v="Ravi"/>
    <s v="Q1"/>
    <x v="0"/>
    <s v="C529"/>
  </r>
  <r>
    <s v="T10731"/>
    <s v="2024-03-07"/>
    <s v="South"/>
    <s v="Bangalore"/>
    <x v="2"/>
    <s v="Commission"/>
    <s v="Cash"/>
    <n v="165527"/>
    <x v="731"/>
    <s v="Arun"/>
    <s v="Q1"/>
    <x v="2"/>
    <s v="C222"/>
  </r>
  <r>
    <s v="T10732"/>
    <s v="2022-11-04"/>
    <s v="South"/>
    <s v="Coimbatore"/>
    <x v="2"/>
    <s v="Commission"/>
    <s v="Cash"/>
    <n v="54202"/>
    <x v="732"/>
    <s v="Ravi"/>
    <s v="Q4"/>
    <x v="1"/>
    <s v="C695"/>
  </r>
  <r>
    <s v="T10733"/>
    <s v="2022-04-13"/>
    <s v="South"/>
    <s v="Chennai"/>
    <x v="2"/>
    <s v="Sales"/>
    <s v="Credit Card"/>
    <n v="259862"/>
    <x v="733"/>
    <s v="Sneha"/>
    <s v="Q2"/>
    <x v="1"/>
    <s v="C190"/>
  </r>
  <r>
    <s v="T10734"/>
    <s v="2022-09-16"/>
    <s v="South"/>
    <s v="Bangalore"/>
    <x v="1"/>
    <s v="Stocks"/>
    <s v="Cash"/>
    <n v="360773"/>
    <x v="734"/>
    <s v="Meera"/>
    <s v="Q3"/>
    <x v="1"/>
    <s v="C156"/>
  </r>
  <r>
    <s v="T10735"/>
    <s v="2021-12-09"/>
    <s v="North"/>
    <s v="Lucknow"/>
    <x v="0"/>
    <s v="Utilities"/>
    <s v="UPI"/>
    <n v="97707"/>
    <x v="735"/>
    <s v="Arun"/>
    <s v="Q4"/>
    <x v="0"/>
    <s v="C265"/>
  </r>
  <r>
    <s v="T10736"/>
    <s v="2024-02-21"/>
    <s v="West"/>
    <s v="Ahmedabad"/>
    <x v="0"/>
    <s v="Salary"/>
    <s v="Bank Transfer"/>
    <n v="155360"/>
    <x v="736"/>
    <s v="Ravi"/>
    <s v="Q1"/>
    <x v="2"/>
    <s v="C401"/>
  </r>
  <r>
    <s v="T10737"/>
    <s v="2022-06-29"/>
    <s v="South"/>
    <s v="Chennai"/>
    <x v="2"/>
    <s v="Subscription"/>
    <s v="Credit Card"/>
    <n v="229714"/>
    <x v="737"/>
    <s v="Arun"/>
    <s v="Q2"/>
    <x v="1"/>
    <s v="C893"/>
  </r>
  <r>
    <s v="T10738"/>
    <s v="2022-06-16"/>
    <s v="South"/>
    <s v="Chennai"/>
    <x v="3"/>
    <s v="Loan Disbursement"/>
    <s v="UPI"/>
    <n v="16746"/>
    <x v="738"/>
    <s v="Priya"/>
    <s v="Q2"/>
    <x v="1"/>
    <s v="C254"/>
  </r>
  <r>
    <s v="T10739"/>
    <s v="2021-07-05"/>
    <s v="South"/>
    <s v="Coimbatore"/>
    <x v="2"/>
    <s v="Commission"/>
    <s v="Credit Card"/>
    <n v="150151"/>
    <x v="739"/>
    <s v="Ravi"/>
    <s v="Q3"/>
    <x v="0"/>
    <s v="C193"/>
  </r>
  <r>
    <s v="T10740"/>
    <s v="2021-12-30"/>
    <s v="South"/>
    <s v="Chennai"/>
    <x v="0"/>
    <s v="Travel"/>
    <s v="Cash"/>
    <n v="167703"/>
    <x v="740"/>
    <s v="Anita"/>
    <s v="Q4"/>
    <x v="0"/>
    <s v="C962"/>
  </r>
  <r>
    <s v="T10741"/>
    <s v="2025-04-12"/>
    <s v="West"/>
    <s v="Pune"/>
    <x v="1"/>
    <s v="Mutual Funds"/>
    <s v="Credit Card"/>
    <n v="804151"/>
    <x v="741"/>
    <s v="Anita"/>
    <s v="Q2"/>
    <x v="4"/>
    <s v="C167"/>
  </r>
  <r>
    <s v="T10742"/>
    <s v="2024-08-29"/>
    <s v="South"/>
    <s v="Coimbatore"/>
    <x v="0"/>
    <s v="Office Supplies"/>
    <s v="Cash"/>
    <n v="73476"/>
    <x v="742"/>
    <s v="Karan"/>
    <s v="Q3"/>
    <x v="2"/>
    <s v="C758"/>
  </r>
  <r>
    <s v="T10743"/>
    <s v="2025-12-29"/>
    <s v="East"/>
    <s v="Kolkata"/>
    <x v="1"/>
    <s v="Stocks"/>
    <s v="Credit Card"/>
    <n v="582940"/>
    <x v="743"/>
    <s v="Ravi"/>
    <s v="Q4"/>
    <x v="4"/>
    <s v="C511"/>
  </r>
  <r>
    <s v="T10744"/>
    <s v="2025-08-19"/>
    <s v="North"/>
    <s v="Chandigarh"/>
    <x v="0"/>
    <s v="Travel"/>
    <s v="Bank Transfer"/>
    <n v="57777"/>
    <x v="744"/>
    <s v="David"/>
    <s v="Q3"/>
    <x v="4"/>
    <s v="C384"/>
  </r>
  <r>
    <s v="T10745"/>
    <s v="2025-03-09"/>
    <s v="West"/>
    <s v="Mumbai"/>
    <x v="2"/>
    <s v="Sales"/>
    <s v="Credit Card"/>
    <n v="208480"/>
    <x v="745"/>
    <s v="David"/>
    <s v="Q1"/>
    <x v="4"/>
    <s v="C975"/>
  </r>
  <r>
    <s v="T10746"/>
    <s v="2021-02-19"/>
    <s v="North"/>
    <s v="Lucknow"/>
    <x v="2"/>
    <s v="Commission"/>
    <s v="Bank Transfer"/>
    <n v="70287"/>
    <x v="746"/>
    <s v="Ravi"/>
    <s v="Q1"/>
    <x v="0"/>
    <s v="C316"/>
  </r>
  <r>
    <s v="T10747"/>
    <s v="2021-08-18"/>
    <s v="West"/>
    <s v="Mumbai"/>
    <x v="0"/>
    <s v="Travel"/>
    <s v="Bank Transfer"/>
    <n v="26916"/>
    <x v="747"/>
    <s v="Arun"/>
    <s v="Q3"/>
    <x v="0"/>
    <s v="C638"/>
  </r>
  <r>
    <s v="T10748"/>
    <s v="2023-11-24"/>
    <s v="West"/>
    <s v="Ahmedabad"/>
    <x v="2"/>
    <s v="Subscription"/>
    <s v="Bank Transfer"/>
    <n v="52951"/>
    <x v="748"/>
    <s v="Karan"/>
    <s v="Q4"/>
    <x v="3"/>
    <s v="C928"/>
  </r>
  <r>
    <s v="T10749"/>
    <s v="2023-05-13"/>
    <s v="South"/>
    <s v="Chennai"/>
    <x v="0"/>
    <s v="Travel"/>
    <s v="Bank Transfer"/>
    <n v="49660"/>
    <x v="749"/>
    <s v="Anita"/>
    <s v="Q2"/>
    <x v="3"/>
    <s v="C175"/>
  </r>
  <r>
    <s v="T10750"/>
    <s v="2024-12-21"/>
    <s v="West"/>
    <s v="Ahmedabad"/>
    <x v="2"/>
    <s v="Commission"/>
    <s v="Cash"/>
    <n v="244651"/>
    <x v="750"/>
    <s v="Anita"/>
    <s v="Q4"/>
    <x v="2"/>
    <s v="C296"/>
  </r>
  <r>
    <s v="T10751"/>
    <s v="2023-09-02"/>
    <s v="South"/>
    <s v="Bangalore"/>
    <x v="2"/>
    <s v="Service"/>
    <s v="Cash"/>
    <n v="35758"/>
    <x v="751"/>
    <s v="Karan"/>
    <s v="Q3"/>
    <x v="3"/>
    <s v="C749"/>
  </r>
  <r>
    <s v="T10752"/>
    <s v="2021-12-21"/>
    <s v="South"/>
    <s v="Chennai"/>
    <x v="2"/>
    <s v="Subscription"/>
    <s v="Credit Card"/>
    <n v="101413"/>
    <x v="752"/>
    <s v="Anita"/>
    <s v="Q4"/>
    <x v="0"/>
    <s v="C178"/>
  </r>
  <r>
    <s v="T10753"/>
    <s v="2023-08-04"/>
    <s v="West"/>
    <s v="Pune"/>
    <x v="0"/>
    <s v="Travel"/>
    <s v="Bank Transfer"/>
    <n v="107865"/>
    <x v="753"/>
    <s v="David"/>
    <s v="Q3"/>
    <x v="3"/>
    <s v="C389"/>
  </r>
  <r>
    <s v="T10754"/>
    <s v="2024-11-11"/>
    <s v="South"/>
    <s v="Bangalore"/>
    <x v="0"/>
    <s v="Office Supplies"/>
    <s v="Credit Card"/>
    <n v="32399"/>
    <x v="754"/>
    <s v="Anita"/>
    <s v="Q4"/>
    <x v="2"/>
    <s v="C308"/>
  </r>
  <r>
    <s v="T10755"/>
    <s v="2024-11-26"/>
    <s v="West"/>
    <s v="Pune"/>
    <x v="0"/>
    <s v="Office Supplies"/>
    <s v="UPI"/>
    <n v="39275"/>
    <x v="755"/>
    <s v="Sneha"/>
    <s v="Q4"/>
    <x v="2"/>
    <s v="C683"/>
  </r>
  <r>
    <s v="T10756"/>
    <s v="2024-07-11"/>
    <s v="West"/>
    <s v="Pune"/>
    <x v="2"/>
    <s v="Commission"/>
    <s v="UPI"/>
    <n v="197398"/>
    <x v="756"/>
    <s v="Meera"/>
    <s v="Q3"/>
    <x v="2"/>
    <s v="C296"/>
  </r>
  <r>
    <s v="T10757"/>
    <s v="2021-03-11"/>
    <s v="West"/>
    <s v="Ahmedabad"/>
    <x v="0"/>
    <s v="Travel"/>
    <s v="UPI"/>
    <n v="34788"/>
    <x v="757"/>
    <s v="Priya"/>
    <s v="Q1"/>
    <x v="0"/>
    <s v="C386"/>
  </r>
  <r>
    <s v="T10758"/>
    <s v="2022-12-25"/>
    <s v="West"/>
    <s v="Mumbai"/>
    <x v="0"/>
    <s v="Salary"/>
    <s v="Credit Card"/>
    <n v="103273"/>
    <x v="758"/>
    <s v="David"/>
    <s v="Q4"/>
    <x v="1"/>
    <s v="C118"/>
  </r>
  <r>
    <s v="T10759"/>
    <s v="2024-01-01"/>
    <s v="South"/>
    <s v="Bangalore"/>
    <x v="2"/>
    <s v="Sales"/>
    <s v="Bank Transfer"/>
    <n v="90548"/>
    <x v="759"/>
    <s v="Sneha"/>
    <s v="Q1"/>
    <x v="2"/>
    <s v="C157"/>
  </r>
  <r>
    <s v="T10760"/>
    <s v="2023-07-10"/>
    <s v="West"/>
    <s v="Mumbai"/>
    <x v="2"/>
    <s v="Subscription"/>
    <s v="Credit Card"/>
    <n v="155895"/>
    <x v="760"/>
    <s v="Arun"/>
    <s v="Q3"/>
    <x v="3"/>
    <s v="C463"/>
  </r>
  <r>
    <s v="T10761"/>
    <s v="2025-03-08"/>
    <s v="North"/>
    <s v="Delhi"/>
    <x v="2"/>
    <s v="Service"/>
    <s v="Cash"/>
    <n v="210490"/>
    <x v="761"/>
    <s v="Sneha"/>
    <s v="Q1"/>
    <x v="4"/>
    <s v="C978"/>
  </r>
  <r>
    <s v="T10762"/>
    <s v="2025-03-19"/>
    <s v="North"/>
    <s v="Lucknow"/>
    <x v="2"/>
    <s v="Sales"/>
    <s v="Cash"/>
    <n v="195915"/>
    <x v="762"/>
    <s v="Meera"/>
    <s v="Q1"/>
    <x v="4"/>
    <s v="C522"/>
  </r>
  <r>
    <s v="T10763"/>
    <s v="2021-02-08"/>
    <s v="East"/>
    <s v="Kolkata"/>
    <x v="2"/>
    <s v="Service"/>
    <s v="Credit Card"/>
    <n v="146931"/>
    <x v="763"/>
    <s v="Ravi"/>
    <s v="Q1"/>
    <x v="0"/>
    <s v="C382"/>
  </r>
  <r>
    <s v="T10764"/>
    <s v="2024-06-27"/>
    <s v="North"/>
    <s v="Delhi"/>
    <x v="0"/>
    <s v="Marketing"/>
    <s v="Credit Card"/>
    <n v="46163"/>
    <x v="764"/>
    <s v="Sneha"/>
    <s v="Q2"/>
    <x v="2"/>
    <s v="C893"/>
  </r>
  <r>
    <s v="T10765"/>
    <s v="2023-07-26"/>
    <s v="South"/>
    <s v="Coimbatore"/>
    <x v="2"/>
    <s v="Commission"/>
    <s v="Cash"/>
    <n v="220596"/>
    <x v="765"/>
    <s v="Sneha"/>
    <s v="Q3"/>
    <x v="3"/>
    <s v="C919"/>
  </r>
  <r>
    <s v="T10766"/>
    <s v="2022-06-14"/>
    <s v="East"/>
    <s v="Bhubaneswar"/>
    <x v="2"/>
    <s v="Service"/>
    <s v="Cash"/>
    <n v="178976"/>
    <x v="766"/>
    <s v="Karan"/>
    <s v="Q2"/>
    <x v="1"/>
    <s v="C968"/>
  </r>
  <r>
    <s v="T10767"/>
    <s v="2025-05-24"/>
    <s v="East"/>
    <s v="Agartala"/>
    <x v="2"/>
    <s v="Service"/>
    <s v="Bank Transfer"/>
    <n v="43264"/>
    <x v="767"/>
    <s v="Sneha"/>
    <s v="Q2"/>
    <x v="4"/>
    <s v="C738"/>
  </r>
  <r>
    <s v="T10768"/>
    <s v="2023-06-25"/>
    <s v="West"/>
    <s v="Ahmedabad"/>
    <x v="2"/>
    <s v="Subscription"/>
    <s v="UPI"/>
    <n v="205394"/>
    <x v="768"/>
    <s v="Meera"/>
    <s v="Q2"/>
    <x v="3"/>
    <s v="C568"/>
  </r>
  <r>
    <s v="T10769"/>
    <s v="2022-07-11"/>
    <s v="South"/>
    <s v="Coimbatore"/>
    <x v="3"/>
    <s v="Loan Disbursement"/>
    <s v="Credit Card"/>
    <n v="434320"/>
    <x v="769"/>
    <s v="Ravi"/>
    <s v="Q3"/>
    <x v="1"/>
    <s v="C727"/>
  </r>
  <r>
    <s v="T10770"/>
    <s v="2021-10-15"/>
    <s v="West"/>
    <s v="Pune"/>
    <x v="0"/>
    <s v="Marketing"/>
    <s v="Credit Card"/>
    <n v="121929"/>
    <x v="770"/>
    <s v="Anita"/>
    <s v="Q4"/>
    <x v="0"/>
    <s v="C782"/>
  </r>
  <r>
    <s v="T10771"/>
    <s v="2022-06-24"/>
    <s v="West"/>
    <s v="Mumbai"/>
    <x v="0"/>
    <s v="Salary"/>
    <s v="Credit Card"/>
    <n v="161066"/>
    <x v="771"/>
    <s v="Karan"/>
    <s v="Q2"/>
    <x v="1"/>
    <s v="C846"/>
  </r>
  <r>
    <s v="T10772"/>
    <s v="2024-10-22"/>
    <s v="South"/>
    <s v="Bangalore"/>
    <x v="2"/>
    <s v="Subscription"/>
    <s v="Bank Transfer"/>
    <n v="94938"/>
    <x v="772"/>
    <s v="Anita"/>
    <s v="Q4"/>
    <x v="2"/>
    <s v="C671"/>
  </r>
  <r>
    <s v="T10773"/>
    <s v="2022-08-15"/>
    <s v="East"/>
    <s v="Bhubaneswar"/>
    <x v="2"/>
    <s v="Subscription"/>
    <s v="Cash"/>
    <n v="270396"/>
    <x v="773"/>
    <s v="Meera"/>
    <s v="Q3"/>
    <x v="1"/>
    <s v="C961"/>
  </r>
  <r>
    <s v="T10774"/>
    <s v="2024-12-10"/>
    <s v="North"/>
    <s v="Chandigarh"/>
    <x v="0"/>
    <s v="Utilities"/>
    <s v="UPI"/>
    <n v="79828"/>
    <x v="774"/>
    <s v="David"/>
    <s v="Q4"/>
    <x v="2"/>
    <s v="C488"/>
  </r>
  <r>
    <s v="T10775"/>
    <s v="2022-08-02"/>
    <s v="South"/>
    <s v="Bangalore"/>
    <x v="0"/>
    <s v="Salary"/>
    <s v="Credit Card"/>
    <n v="154562"/>
    <x v="775"/>
    <s v="David"/>
    <s v="Q3"/>
    <x v="1"/>
    <s v="C641"/>
  </r>
  <r>
    <s v="T10776"/>
    <s v="2023-09-18"/>
    <s v="East"/>
    <s v="Bhubaneswar"/>
    <x v="2"/>
    <s v="Subscription"/>
    <s v="UPI"/>
    <n v="192512"/>
    <x v="776"/>
    <s v="Ravi"/>
    <s v="Q3"/>
    <x v="3"/>
    <s v="C399"/>
  </r>
  <r>
    <s v="T10777"/>
    <s v="2025-06-25"/>
    <s v="North"/>
    <s v="Chandigarh"/>
    <x v="0"/>
    <s v="Marketing"/>
    <s v="Credit Card"/>
    <n v="89318"/>
    <x v="777"/>
    <s v="Sneha"/>
    <s v="Q2"/>
    <x v="4"/>
    <s v="C463"/>
  </r>
  <r>
    <s v="T10778"/>
    <s v="2025-12-17"/>
    <s v="North"/>
    <s v="Delhi"/>
    <x v="2"/>
    <s v="Subscription"/>
    <s v="Bank Transfer"/>
    <n v="32945"/>
    <x v="778"/>
    <s v="Ravi"/>
    <s v="Q4"/>
    <x v="4"/>
    <s v="C219"/>
  </r>
  <r>
    <s v="T10779"/>
    <s v="2022-02-03"/>
    <s v="North"/>
    <s v="Chandigarh"/>
    <x v="1"/>
    <s v="Mutual Funds"/>
    <s v="Cash"/>
    <n v="608399"/>
    <x v="779"/>
    <s v="Karan"/>
    <s v="Q1"/>
    <x v="1"/>
    <s v="C934"/>
  </r>
  <r>
    <s v="T10780"/>
    <s v="2024-07-03"/>
    <s v="North"/>
    <s v="Chandigarh"/>
    <x v="0"/>
    <s v="Salary"/>
    <s v="UPI"/>
    <n v="7308"/>
    <x v="780"/>
    <s v="Karan"/>
    <s v="Q3"/>
    <x v="2"/>
    <s v="C234"/>
  </r>
  <r>
    <s v="T10781"/>
    <s v="2022-01-01"/>
    <s v="South"/>
    <s v="Chennai"/>
    <x v="2"/>
    <s v="Service"/>
    <s v="Credit Card"/>
    <n v="205210"/>
    <x v="781"/>
    <s v="David"/>
    <s v="Q1"/>
    <x v="1"/>
    <s v="C668"/>
  </r>
  <r>
    <s v="T10782"/>
    <s v="2025-01-15"/>
    <s v="West"/>
    <s v="Ahmedabad"/>
    <x v="2"/>
    <s v="Subscription"/>
    <s v="Bank Transfer"/>
    <n v="82639"/>
    <x v="782"/>
    <s v="Karan"/>
    <s v="Q1"/>
    <x v="4"/>
    <s v="C728"/>
  </r>
  <r>
    <s v="T10783"/>
    <s v="2021-07-22"/>
    <s v="South"/>
    <s v="Bangalore"/>
    <x v="0"/>
    <s v="Travel"/>
    <s v="UPI"/>
    <n v="75061"/>
    <x v="783"/>
    <s v="Priya"/>
    <s v="Q3"/>
    <x v="0"/>
    <s v="C378"/>
  </r>
  <r>
    <s v="T10784"/>
    <s v="2023-07-30"/>
    <s v="South"/>
    <s v="Bangalore"/>
    <x v="3"/>
    <s v="Loan Disbursement"/>
    <s v="Cash"/>
    <n v="319208"/>
    <x v="784"/>
    <s v="Anita"/>
    <s v="Q3"/>
    <x v="3"/>
    <s v="C932"/>
  </r>
  <r>
    <s v="T10785"/>
    <s v="2024-01-12"/>
    <s v="South"/>
    <s v="Chennai"/>
    <x v="0"/>
    <s v="Office Supplies"/>
    <s v="Bank Transfer"/>
    <n v="125808"/>
    <x v="785"/>
    <s v="Anita"/>
    <s v="Q1"/>
    <x v="2"/>
    <s v="C169"/>
  </r>
  <r>
    <s v="T10786"/>
    <s v="2024-09-13"/>
    <s v="North"/>
    <s v="Delhi"/>
    <x v="0"/>
    <s v="Marketing"/>
    <s v="Credit Card"/>
    <n v="116067"/>
    <x v="786"/>
    <s v="Priya"/>
    <s v="Q3"/>
    <x v="2"/>
    <s v="C351"/>
  </r>
  <r>
    <s v="T10787"/>
    <s v="2023-06-20"/>
    <s v="South"/>
    <s v="Coimbatore"/>
    <x v="2"/>
    <s v="Service"/>
    <s v="Bank Transfer"/>
    <n v="152032"/>
    <x v="787"/>
    <s v="Meera"/>
    <s v="Q2"/>
    <x v="3"/>
    <s v="C276"/>
  </r>
  <r>
    <s v="T10788"/>
    <s v="2021-10-21"/>
    <s v="North"/>
    <s v="Lucknow"/>
    <x v="1"/>
    <s v="FD"/>
    <s v="Cash"/>
    <n v="572849"/>
    <x v="788"/>
    <s v="Arun"/>
    <s v="Q4"/>
    <x v="0"/>
    <s v="C325"/>
  </r>
  <r>
    <s v="T10789"/>
    <s v="2023-03-10"/>
    <s v="North"/>
    <s v="Lucknow"/>
    <x v="0"/>
    <s v="Marketing"/>
    <s v="Credit Card"/>
    <n v="66806"/>
    <x v="789"/>
    <s v="Karan"/>
    <s v="Q1"/>
    <x v="3"/>
    <s v="C481"/>
  </r>
  <r>
    <s v="T10790"/>
    <s v="2022-08-09"/>
    <s v="North"/>
    <s v="Delhi"/>
    <x v="0"/>
    <s v="Utilities"/>
    <s v="Bank Transfer"/>
    <n v="148280"/>
    <x v="790"/>
    <s v="Ravi"/>
    <s v="Q3"/>
    <x v="1"/>
    <s v="C768"/>
  </r>
  <r>
    <s v="T10791"/>
    <s v="2024-09-07"/>
    <s v="South"/>
    <s v="Chennai"/>
    <x v="2"/>
    <s v="Subscription"/>
    <s v="Bank Transfer"/>
    <n v="149279"/>
    <x v="791"/>
    <s v="Sneha"/>
    <s v="Q3"/>
    <x v="2"/>
    <s v="C909"/>
  </r>
  <r>
    <s v="T10792"/>
    <s v="2024-08-10"/>
    <s v="West"/>
    <s v="Mumbai"/>
    <x v="2"/>
    <s v="Subscription"/>
    <s v="UPI"/>
    <n v="81592"/>
    <x v="792"/>
    <s v="Priya"/>
    <s v="Q3"/>
    <x v="2"/>
    <s v="C107"/>
  </r>
  <r>
    <s v="T10793"/>
    <s v="2023-04-09"/>
    <s v="North"/>
    <s v="Chandigarh"/>
    <x v="2"/>
    <s v="Commission"/>
    <s v="Credit Card"/>
    <n v="65849"/>
    <x v="793"/>
    <s v="Sneha"/>
    <s v="Q2"/>
    <x v="3"/>
    <s v="C363"/>
  </r>
  <r>
    <s v="T10794"/>
    <s v="2024-08-17"/>
    <s v="East"/>
    <s v="Agartala"/>
    <x v="2"/>
    <s v="Service"/>
    <s v="Bank Transfer"/>
    <n v="59835"/>
    <x v="794"/>
    <s v="Meera"/>
    <s v="Q3"/>
    <x v="2"/>
    <s v="C926"/>
  </r>
  <r>
    <s v="T10795"/>
    <s v="2021-12-10"/>
    <s v="North"/>
    <s v="Chandigarh"/>
    <x v="2"/>
    <s v="Service"/>
    <s v="Credit Card"/>
    <n v="47090"/>
    <x v="795"/>
    <s v="David"/>
    <s v="Q4"/>
    <x v="0"/>
    <s v="C393"/>
  </r>
  <r>
    <s v="T10796"/>
    <s v="2024-10-28"/>
    <s v="North"/>
    <s v="Lucknow"/>
    <x v="0"/>
    <s v="Office Supplies"/>
    <s v="UPI"/>
    <n v="127960"/>
    <x v="796"/>
    <s v="Sneha"/>
    <s v="Q4"/>
    <x v="2"/>
    <s v="C564"/>
  </r>
  <r>
    <s v="T10797"/>
    <s v="2024-07-13"/>
    <s v="North"/>
    <s v="Chandigarh"/>
    <x v="2"/>
    <s v="Sales"/>
    <s v="Cash"/>
    <n v="181014"/>
    <x v="797"/>
    <s v="David"/>
    <s v="Q3"/>
    <x v="2"/>
    <s v="C800"/>
  </r>
  <r>
    <s v="T10798"/>
    <s v="2021-03-10"/>
    <s v="South"/>
    <s v="Coimbatore"/>
    <x v="0"/>
    <s v="Marketing"/>
    <s v="UPI"/>
    <n v="165807"/>
    <x v="798"/>
    <s v="Anita"/>
    <s v="Q1"/>
    <x v="0"/>
    <s v="C629"/>
  </r>
  <r>
    <s v="T10799"/>
    <s v="2025-02-04"/>
    <s v="South"/>
    <s v="Coimbatore"/>
    <x v="2"/>
    <s v="Commission"/>
    <s v="UPI"/>
    <n v="237444"/>
    <x v="799"/>
    <s v="Karan"/>
    <s v="Q1"/>
    <x v="4"/>
    <s v="C995"/>
  </r>
  <r>
    <s v="T10800"/>
    <s v="2022-12-23"/>
    <s v="North"/>
    <s v="Delhi"/>
    <x v="0"/>
    <s v="Office Supplies"/>
    <s v="Credit Card"/>
    <n v="112583"/>
    <x v="800"/>
    <s v="Ravi"/>
    <s v="Q4"/>
    <x v="1"/>
    <s v="C502"/>
  </r>
  <r>
    <s v="T10801"/>
    <s v="2024-12-17"/>
    <s v="West"/>
    <s v="Mumbai"/>
    <x v="2"/>
    <s v="Service"/>
    <s v="Bank Transfer"/>
    <n v="67007"/>
    <x v="801"/>
    <s v="Priya"/>
    <s v="Q4"/>
    <x v="2"/>
    <s v="C642"/>
  </r>
  <r>
    <s v="T10802"/>
    <s v="2022-02-06"/>
    <s v="South"/>
    <s v="Bangalore"/>
    <x v="1"/>
    <s v="Bonds"/>
    <s v="UPI"/>
    <n v="426159"/>
    <x v="802"/>
    <s v="Anita"/>
    <s v="Q1"/>
    <x v="1"/>
    <s v="C755"/>
  </r>
  <r>
    <s v="T10803"/>
    <s v="2025-07-27"/>
    <s v="North"/>
    <s v="Delhi"/>
    <x v="2"/>
    <s v="Commission"/>
    <s v="UPI"/>
    <n v="25298"/>
    <x v="803"/>
    <s v="Arun"/>
    <s v="Q3"/>
    <x v="4"/>
    <s v="C740"/>
  </r>
  <r>
    <s v="T10804"/>
    <s v="2021-09-16"/>
    <s v="North"/>
    <s v="Lucknow"/>
    <x v="2"/>
    <s v="Service"/>
    <s v="UPI"/>
    <n v="100627"/>
    <x v="804"/>
    <s v="Meera"/>
    <s v="Q3"/>
    <x v="0"/>
    <s v="C557"/>
  </r>
  <r>
    <s v="T10805"/>
    <s v="2024-11-04"/>
    <s v="North"/>
    <s v="Lucknow"/>
    <x v="2"/>
    <s v="Service"/>
    <s v="Credit Card"/>
    <n v="152702"/>
    <x v="805"/>
    <s v="David"/>
    <s v="Q4"/>
    <x v="2"/>
    <s v="C842"/>
  </r>
  <r>
    <s v="T10806"/>
    <s v="2021-11-14"/>
    <s v="West"/>
    <s v="Ahmedabad"/>
    <x v="0"/>
    <s v="Office Supplies"/>
    <s v="UPI"/>
    <n v="23853"/>
    <x v="806"/>
    <s v="Meera"/>
    <s v="Q4"/>
    <x v="0"/>
    <s v="C621"/>
  </r>
  <r>
    <s v="T10807"/>
    <s v="2025-07-17"/>
    <s v="South"/>
    <s v="Chennai"/>
    <x v="2"/>
    <s v="Commission"/>
    <s v="Cash"/>
    <n v="44605"/>
    <x v="807"/>
    <s v="Ravi"/>
    <s v="Q3"/>
    <x v="4"/>
    <s v="C619"/>
  </r>
  <r>
    <s v="T10808"/>
    <s v="2025-03-12"/>
    <s v="West"/>
    <s v="Mumbai"/>
    <x v="2"/>
    <s v="Sales"/>
    <s v="Cash"/>
    <n v="133690"/>
    <x v="808"/>
    <s v="Meera"/>
    <s v="Q1"/>
    <x v="4"/>
    <s v="C696"/>
  </r>
  <r>
    <s v="T10809"/>
    <s v="2023-08-13"/>
    <s v="West"/>
    <s v="Ahmedabad"/>
    <x v="2"/>
    <s v="Service"/>
    <s v="Credit Card"/>
    <n v="54177"/>
    <x v="809"/>
    <s v="Anita"/>
    <s v="Q3"/>
    <x v="3"/>
    <s v="C938"/>
  </r>
  <r>
    <s v="T10810"/>
    <s v="2024-07-18"/>
    <s v="North"/>
    <s v="Lucknow"/>
    <x v="0"/>
    <s v="Salary"/>
    <s v="Credit Card"/>
    <n v="123228"/>
    <x v="810"/>
    <s v="Meera"/>
    <s v="Q3"/>
    <x v="2"/>
    <s v="C133"/>
  </r>
  <r>
    <s v="T10811"/>
    <s v="2024-01-16"/>
    <s v="West"/>
    <s v="Mumbai"/>
    <x v="0"/>
    <s v="Marketing"/>
    <s v="UPI"/>
    <n v="141540"/>
    <x v="811"/>
    <s v="Karan"/>
    <s v="Q1"/>
    <x v="2"/>
    <s v="C672"/>
  </r>
  <r>
    <s v="T10812"/>
    <s v="2022-03-15"/>
    <s v="North"/>
    <s v="Chandigarh"/>
    <x v="2"/>
    <s v="Commission"/>
    <s v="Cash"/>
    <n v="247469"/>
    <x v="812"/>
    <s v="David"/>
    <s v="Q1"/>
    <x v="1"/>
    <s v="C371"/>
  </r>
  <r>
    <s v="T10813"/>
    <s v="2024-09-12"/>
    <s v="South"/>
    <s v="Chennai"/>
    <x v="2"/>
    <s v="Sales"/>
    <s v="Bank Transfer"/>
    <n v="179766"/>
    <x v="813"/>
    <s v="Karan"/>
    <s v="Q3"/>
    <x v="2"/>
    <s v="C357"/>
  </r>
  <r>
    <s v="T10814"/>
    <s v="2023-07-12"/>
    <s v="West"/>
    <s v="Ahmedabad"/>
    <x v="3"/>
    <s v="Loan Disbursement"/>
    <s v="UPI"/>
    <n v="275873"/>
    <x v="814"/>
    <s v="Ravi"/>
    <s v="Q3"/>
    <x v="3"/>
    <s v="C263"/>
  </r>
  <r>
    <s v="T10815"/>
    <s v="2021-05-10"/>
    <s v="West"/>
    <s v="Ahmedabad"/>
    <x v="2"/>
    <s v="Subscription"/>
    <s v="UPI"/>
    <n v="74423"/>
    <x v="815"/>
    <s v="David"/>
    <s v="Q2"/>
    <x v="0"/>
    <s v="C854"/>
  </r>
  <r>
    <s v="T10816"/>
    <s v="2025-01-21"/>
    <s v="West"/>
    <s v="Ahmedabad"/>
    <x v="2"/>
    <s v="Subscription"/>
    <s v="UPI"/>
    <n v="126693"/>
    <x v="816"/>
    <s v="Arun"/>
    <s v="Q1"/>
    <x v="4"/>
    <s v="C522"/>
  </r>
  <r>
    <s v="T10817"/>
    <s v="2023-03-08"/>
    <s v="South"/>
    <s v="Chennai"/>
    <x v="2"/>
    <s v="Sales"/>
    <s v="Bank Transfer"/>
    <n v="108507"/>
    <x v="817"/>
    <s v="Meera"/>
    <s v="Q1"/>
    <x v="3"/>
    <s v="C186"/>
  </r>
  <r>
    <s v="T10818"/>
    <s v="2025-08-14"/>
    <s v="West"/>
    <s v="Mumbai"/>
    <x v="0"/>
    <s v="Office Supplies"/>
    <s v="Cash"/>
    <n v="98499"/>
    <x v="818"/>
    <s v="Priya"/>
    <s v="Q3"/>
    <x v="4"/>
    <s v="C453"/>
  </r>
  <r>
    <s v="T10819"/>
    <s v="2022-09-08"/>
    <s v="North"/>
    <s v="Chandigarh"/>
    <x v="0"/>
    <s v="Office Supplies"/>
    <s v="Credit Card"/>
    <n v="113943"/>
    <x v="819"/>
    <s v="David"/>
    <s v="Q3"/>
    <x v="1"/>
    <s v="C338"/>
  </r>
  <r>
    <s v="T10820"/>
    <s v="2024-02-23"/>
    <s v="North"/>
    <s v="Chandigarh"/>
    <x v="2"/>
    <s v="Service"/>
    <s v="Credit Card"/>
    <n v="61542"/>
    <x v="820"/>
    <s v="Ravi"/>
    <s v="Q1"/>
    <x v="2"/>
    <s v="C503"/>
  </r>
  <r>
    <s v="T10821"/>
    <s v="2023-11-03"/>
    <s v="North"/>
    <s v="Chandigarh"/>
    <x v="1"/>
    <s v="FD"/>
    <s v="Cash"/>
    <n v="509784"/>
    <x v="821"/>
    <s v="Priya"/>
    <s v="Q4"/>
    <x v="3"/>
    <s v="C470"/>
  </r>
  <r>
    <s v="T10822"/>
    <s v="2022-02-09"/>
    <s v="South"/>
    <s v="Coimbatore"/>
    <x v="2"/>
    <s v="Service"/>
    <s v="Credit Card"/>
    <n v="171693"/>
    <x v="822"/>
    <s v="Sneha"/>
    <s v="Q1"/>
    <x v="1"/>
    <s v="C731"/>
  </r>
  <r>
    <s v="T10823"/>
    <s v="2021-11-21"/>
    <s v="North"/>
    <s v="Delhi"/>
    <x v="2"/>
    <s v="Service"/>
    <s v="UPI"/>
    <n v="240283"/>
    <x v="823"/>
    <s v="Priya"/>
    <s v="Q4"/>
    <x v="0"/>
    <s v="C646"/>
  </r>
  <r>
    <s v="T10824"/>
    <s v="2021-12-30"/>
    <s v="East"/>
    <s v="Bhubaneswar"/>
    <x v="0"/>
    <s v="Travel"/>
    <s v="UPI"/>
    <n v="51659"/>
    <x v="824"/>
    <s v="Meera"/>
    <s v="Q4"/>
    <x v="0"/>
    <s v="C537"/>
  </r>
  <r>
    <s v="T10825"/>
    <s v="2022-09-24"/>
    <s v="East"/>
    <s v="Kolkata"/>
    <x v="2"/>
    <s v="Subscription"/>
    <s v="UPI"/>
    <n v="43206"/>
    <x v="825"/>
    <s v="Meera"/>
    <s v="Q3"/>
    <x v="1"/>
    <s v="C253"/>
  </r>
  <r>
    <s v="T10826"/>
    <s v="2025-09-15"/>
    <s v="South"/>
    <s v="Chennai"/>
    <x v="0"/>
    <s v="Salary"/>
    <s v="Credit Card"/>
    <n v="66562"/>
    <x v="826"/>
    <s v="Arun"/>
    <s v="Q3"/>
    <x v="4"/>
    <s v="C634"/>
  </r>
  <r>
    <s v="T10827"/>
    <s v="2025-04-13"/>
    <s v="East"/>
    <s v="Bhubaneswar"/>
    <x v="0"/>
    <s v="Office Supplies"/>
    <s v="Cash"/>
    <n v="30454"/>
    <x v="827"/>
    <s v="Karan"/>
    <s v="Q2"/>
    <x v="4"/>
    <s v="C691"/>
  </r>
  <r>
    <s v="T10828"/>
    <s v="2023-05-27"/>
    <s v="South"/>
    <s v="Bangalore"/>
    <x v="0"/>
    <s v="Utilities"/>
    <s v="UPI"/>
    <n v="199165"/>
    <x v="828"/>
    <s v="Sneha"/>
    <s v="Q2"/>
    <x v="3"/>
    <s v="C515"/>
  </r>
  <r>
    <s v="T10829"/>
    <s v="2023-11-21"/>
    <s v="South"/>
    <s v="Bangalore"/>
    <x v="0"/>
    <s v="Utilities"/>
    <s v="Credit Card"/>
    <n v="62790"/>
    <x v="829"/>
    <s v="Ravi"/>
    <s v="Q4"/>
    <x v="3"/>
    <s v="C554"/>
  </r>
  <r>
    <s v="T10830"/>
    <s v="2023-10-22"/>
    <s v="South"/>
    <s v="Chennai"/>
    <x v="2"/>
    <s v="Sales"/>
    <s v="Cash"/>
    <n v="113522"/>
    <x v="830"/>
    <s v="Karan"/>
    <s v="Q4"/>
    <x v="3"/>
    <s v="C793"/>
  </r>
  <r>
    <s v="T10831"/>
    <s v="2025-01-31"/>
    <s v="West"/>
    <s v="Pune"/>
    <x v="0"/>
    <s v="Utilities"/>
    <s v="Credit Card"/>
    <n v="181956"/>
    <x v="831"/>
    <s v="Anita"/>
    <s v="Q1"/>
    <x v="4"/>
    <s v="C101"/>
  </r>
  <r>
    <s v="T10832"/>
    <s v="2025-12-06"/>
    <s v="North"/>
    <s v="Chandigarh"/>
    <x v="2"/>
    <s v="Sales"/>
    <s v="Credit Card"/>
    <n v="268043"/>
    <x v="832"/>
    <s v="Priya"/>
    <s v="Q4"/>
    <x v="4"/>
    <s v="C983"/>
  </r>
  <r>
    <s v="T10833"/>
    <s v="2022-05-17"/>
    <s v="South"/>
    <s v="Chennai"/>
    <x v="0"/>
    <s v="Utilities"/>
    <s v="UPI"/>
    <n v="180656"/>
    <x v="833"/>
    <s v="Anita"/>
    <s v="Q2"/>
    <x v="1"/>
    <s v="C961"/>
  </r>
  <r>
    <s v="T10834"/>
    <s v="2021-02-23"/>
    <s v="East"/>
    <s v="Bhubaneswar"/>
    <x v="1"/>
    <s v="Stocks"/>
    <s v="Cash"/>
    <n v="549362"/>
    <x v="834"/>
    <s v="Anita"/>
    <s v="Q1"/>
    <x v="0"/>
    <s v="C947"/>
  </r>
  <r>
    <s v="T10835"/>
    <s v="2023-10-18"/>
    <s v="West"/>
    <s v="Ahmedabad"/>
    <x v="2"/>
    <s v="Sales"/>
    <s v="Credit Card"/>
    <n v="266807"/>
    <x v="835"/>
    <s v="Ravi"/>
    <s v="Q4"/>
    <x v="3"/>
    <s v="C428"/>
  </r>
  <r>
    <s v="T10836"/>
    <s v="2024-08-24"/>
    <s v="East"/>
    <s v="Agartala"/>
    <x v="2"/>
    <s v="Sales"/>
    <s v="Credit Card"/>
    <n v="261699"/>
    <x v="836"/>
    <s v="Meera"/>
    <s v="Q3"/>
    <x v="2"/>
    <s v="C102"/>
  </r>
  <r>
    <s v="T10837"/>
    <s v="2021-08-09"/>
    <s v="North"/>
    <s v="Chandigarh"/>
    <x v="2"/>
    <s v="Sales"/>
    <s v="Credit Card"/>
    <n v="258275"/>
    <x v="837"/>
    <s v="Karan"/>
    <s v="Q3"/>
    <x v="0"/>
    <s v="C565"/>
  </r>
  <r>
    <s v="T10838"/>
    <s v="2023-08-10"/>
    <s v="South"/>
    <s v="Bangalore"/>
    <x v="2"/>
    <s v="Subscription"/>
    <s v="UPI"/>
    <n v="52530"/>
    <x v="838"/>
    <s v="Meera"/>
    <s v="Q3"/>
    <x v="3"/>
    <s v="C475"/>
  </r>
  <r>
    <s v="T10839"/>
    <s v="2023-06-04"/>
    <s v="West"/>
    <s v="Mumbai"/>
    <x v="0"/>
    <s v="Marketing"/>
    <s v="UPI"/>
    <n v="101453"/>
    <x v="839"/>
    <s v="David"/>
    <s v="Q2"/>
    <x v="3"/>
    <s v="C838"/>
  </r>
  <r>
    <s v="T10840"/>
    <s v="2023-09-25"/>
    <s v="West"/>
    <s v="Ahmedabad"/>
    <x v="2"/>
    <s v="Sales"/>
    <s v="Cash"/>
    <n v="293529"/>
    <x v="840"/>
    <s v="Ravi"/>
    <s v="Q3"/>
    <x v="3"/>
    <s v="C733"/>
  </r>
  <r>
    <s v="T10841"/>
    <s v="2022-04-22"/>
    <s v="South"/>
    <s v="Bangalore"/>
    <x v="2"/>
    <s v="Sales"/>
    <s v="UPI"/>
    <n v="257664"/>
    <x v="841"/>
    <s v="Meera"/>
    <s v="Q2"/>
    <x v="1"/>
    <s v="C795"/>
  </r>
  <r>
    <s v="T10842"/>
    <s v="2024-11-15"/>
    <s v="West"/>
    <s v="Pune"/>
    <x v="0"/>
    <s v="Travel"/>
    <s v="Bank Transfer"/>
    <n v="124498"/>
    <x v="842"/>
    <s v="Priya"/>
    <s v="Q4"/>
    <x v="2"/>
    <s v="C178"/>
  </r>
  <r>
    <s v="T10843"/>
    <s v="2025-07-15"/>
    <s v="East"/>
    <s v="Kolkata"/>
    <x v="1"/>
    <s v="Stocks"/>
    <s v="UPI"/>
    <n v="512469"/>
    <x v="843"/>
    <s v="Karan"/>
    <s v="Q3"/>
    <x v="4"/>
    <s v="C357"/>
  </r>
  <r>
    <s v="T10844"/>
    <s v="2024-10-01"/>
    <s v="East"/>
    <s v="Bhubaneswar"/>
    <x v="2"/>
    <s v="Sales"/>
    <s v="UPI"/>
    <n v="213789"/>
    <x v="844"/>
    <s v="Sneha"/>
    <s v="Q4"/>
    <x v="2"/>
    <s v="C578"/>
  </r>
  <r>
    <s v="T10845"/>
    <s v="2022-04-01"/>
    <s v="West"/>
    <s v="Ahmedabad"/>
    <x v="2"/>
    <s v="Service"/>
    <s v="Bank Transfer"/>
    <n v="186183"/>
    <x v="845"/>
    <s v="Anita"/>
    <s v="Q2"/>
    <x v="1"/>
    <s v="C705"/>
  </r>
  <r>
    <s v="T10846"/>
    <s v="2023-07-03"/>
    <s v="South"/>
    <s v="Coimbatore"/>
    <x v="2"/>
    <s v="Commission"/>
    <s v="Cash"/>
    <n v="277941"/>
    <x v="846"/>
    <s v="David"/>
    <s v="Q3"/>
    <x v="3"/>
    <s v="C604"/>
  </r>
  <r>
    <s v="T10847"/>
    <s v="2025-09-05"/>
    <s v="North"/>
    <s v="Chandigarh"/>
    <x v="0"/>
    <s v="Utilities"/>
    <s v="Credit Card"/>
    <n v="44151"/>
    <x v="847"/>
    <s v="Anita"/>
    <s v="Q3"/>
    <x v="4"/>
    <s v="C217"/>
  </r>
  <r>
    <s v="T10848"/>
    <s v="2025-10-25"/>
    <s v="East"/>
    <s v="Agartala"/>
    <x v="1"/>
    <s v="Stocks"/>
    <s v="Cash"/>
    <n v="693647"/>
    <x v="848"/>
    <s v="David"/>
    <s v="Q4"/>
    <x v="4"/>
    <s v="C113"/>
  </r>
  <r>
    <s v="T10849"/>
    <s v="2024-01-21"/>
    <s v="East"/>
    <s v="Agartala"/>
    <x v="0"/>
    <s v="Office Supplies"/>
    <s v="Cash"/>
    <n v="34864"/>
    <x v="849"/>
    <s v="Arun"/>
    <s v="Q1"/>
    <x v="2"/>
    <s v="C364"/>
  </r>
  <r>
    <s v="T10850"/>
    <s v="2021-01-10"/>
    <s v="North"/>
    <s v="Delhi"/>
    <x v="0"/>
    <s v="Marketing"/>
    <s v="Bank Transfer"/>
    <n v="148831"/>
    <x v="850"/>
    <s v="Arun"/>
    <s v="Q1"/>
    <x v="0"/>
    <s v="C329"/>
  </r>
  <r>
    <s v="T10851"/>
    <s v="2023-03-21"/>
    <s v="West"/>
    <s v="Ahmedabad"/>
    <x v="0"/>
    <s v="Office Supplies"/>
    <s v="Bank Transfer"/>
    <n v="132052"/>
    <x v="851"/>
    <s v="Priya"/>
    <s v="Q1"/>
    <x v="3"/>
    <s v="C866"/>
  </r>
  <r>
    <s v="T10852"/>
    <s v="2024-12-06"/>
    <s v="North"/>
    <s v="Chandigarh"/>
    <x v="0"/>
    <s v="Travel"/>
    <s v="Cash"/>
    <n v="136951"/>
    <x v="852"/>
    <s v="Meera"/>
    <s v="Q4"/>
    <x v="2"/>
    <s v="C712"/>
  </r>
  <r>
    <s v="T10853"/>
    <s v="2023-11-04"/>
    <s v="East"/>
    <s v="Kolkata"/>
    <x v="2"/>
    <s v="Sales"/>
    <s v="UPI"/>
    <n v="120773"/>
    <x v="853"/>
    <s v="Anita"/>
    <s v="Q4"/>
    <x v="3"/>
    <s v="C276"/>
  </r>
  <r>
    <s v="T10854"/>
    <s v="2025-03-14"/>
    <s v="North"/>
    <s v="Chandigarh"/>
    <x v="1"/>
    <s v="Bonds"/>
    <s v="Credit Card"/>
    <n v="416226"/>
    <x v="854"/>
    <s v="David"/>
    <s v="Q1"/>
    <x v="4"/>
    <s v="C655"/>
  </r>
  <r>
    <s v="T10855"/>
    <s v="2025-10-20"/>
    <s v="West"/>
    <s v="Pune"/>
    <x v="2"/>
    <s v="Commission"/>
    <s v="Cash"/>
    <n v="249456"/>
    <x v="855"/>
    <s v="Priya"/>
    <s v="Q4"/>
    <x v="4"/>
    <s v="C426"/>
  </r>
  <r>
    <s v="T10856"/>
    <s v="2024-05-19"/>
    <s v="South"/>
    <s v="Bangalore"/>
    <x v="0"/>
    <s v="Office Supplies"/>
    <s v="Bank Transfer"/>
    <n v="128340"/>
    <x v="856"/>
    <s v="Meera"/>
    <s v="Q2"/>
    <x v="2"/>
    <s v="C205"/>
  </r>
  <r>
    <s v="T10857"/>
    <s v="2021-05-24"/>
    <s v="North"/>
    <s v="Lucknow"/>
    <x v="1"/>
    <s v="Bonds"/>
    <s v="Bank Transfer"/>
    <n v="690788"/>
    <x v="857"/>
    <s v="Ravi"/>
    <s v="Q2"/>
    <x v="0"/>
    <s v="C393"/>
  </r>
  <r>
    <s v="T10858"/>
    <s v="2021-06-24"/>
    <s v="South"/>
    <s v="Chennai"/>
    <x v="2"/>
    <s v="Service"/>
    <s v="Credit Card"/>
    <n v="221294"/>
    <x v="858"/>
    <s v="Arun"/>
    <s v="Q2"/>
    <x v="0"/>
    <s v="C129"/>
  </r>
  <r>
    <s v="T10859"/>
    <s v="2024-09-09"/>
    <s v="West"/>
    <s v="Pune"/>
    <x v="0"/>
    <s v="Marketing"/>
    <s v="Credit Card"/>
    <n v="178093"/>
    <x v="859"/>
    <s v="Anita"/>
    <s v="Q3"/>
    <x v="2"/>
    <s v="C657"/>
  </r>
  <r>
    <s v="T10860"/>
    <s v="2022-12-14"/>
    <s v="East"/>
    <s v="Agartala"/>
    <x v="0"/>
    <s v="Marketing"/>
    <s v="Bank Transfer"/>
    <n v="6039"/>
    <x v="860"/>
    <s v="Meera"/>
    <s v="Q4"/>
    <x v="1"/>
    <s v="C973"/>
  </r>
  <r>
    <s v="T10861"/>
    <s v="2021-03-02"/>
    <s v="West"/>
    <s v="Mumbai"/>
    <x v="1"/>
    <s v="FD"/>
    <s v="UPI"/>
    <n v="609913"/>
    <x v="861"/>
    <s v="Priya"/>
    <s v="Q1"/>
    <x v="0"/>
    <s v="C824"/>
  </r>
  <r>
    <s v="T10862"/>
    <s v="2025-03-28"/>
    <s v="East"/>
    <s v="Bhubaneswar"/>
    <x v="0"/>
    <s v="Travel"/>
    <s v="Cash"/>
    <n v="199382"/>
    <x v="862"/>
    <s v="Priya"/>
    <s v="Q1"/>
    <x v="4"/>
    <s v="C214"/>
  </r>
  <r>
    <s v="T10863"/>
    <s v="2024-07-01"/>
    <s v="South"/>
    <s v="Chennai"/>
    <x v="2"/>
    <s v="Service"/>
    <s v="Credit Card"/>
    <n v="253351"/>
    <x v="863"/>
    <s v="David"/>
    <s v="Q3"/>
    <x v="2"/>
    <s v="C955"/>
  </r>
  <r>
    <s v="T10864"/>
    <s v="2024-06-14"/>
    <s v="South"/>
    <s v="Coimbatore"/>
    <x v="2"/>
    <s v="Commission"/>
    <s v="UPI"/>
    <n v="261300"/>
    <x v="864"/>
    <s v="David"/>
    <s v="Q2"/>
    <x v="2"/>
    <s v="C593"/>
  </r>
  <r>
    <s v="T10865"/>
    <s v="2023-02-07"/>
    <s v="South"/>
    <s v="Coimbatore"/>
    <x v="2"/>
    <s v="Sales"/>
    <s v="UPI"/>
    <n v="297292"/>
    <x v="865"/>
    <s v="Ravi"/>
    <s v="Q1"/>
    <x v="3"/>
    <s v="C570"/>
  </r>
  <r>
    <s v="T10866"/>
    <s v="2022-10-06"/>
    <s v="East"/>
    <s v="Bhubaneswar"/>
    <x v="2"/>
    <s v="Service"/>
    <s v="Cash"/>
    <n v="83503"/>
    <x v="866"/>
    <s v="Meera"/>
    <s v="Q4"/>
    <x v="1"/>
    <s v="C445"/>
  </r>
  <r>
    <s v="T10867"/>
    <s v="2024-05-12"/>
    <s v="South"/>
    <s v="Coimbatore"/>
    <x v="2"/>
    <s v="Commission"/>
    <s v="Cash"/>
    <n v="46594"/>
    <x v="867"/>
    <s v="David"/>
    <s v="Q2"/>
    <x v="2"/>
    <s v="C445"/>
  </r>
  <r>
    <s v="T10868"/>
    <s v="2022-12-09"/>
    <s v="North"/>
    <s v="Lucknow"/>
    <x v="2"/>
    <s v="Service"/>
    <s v="Cash"/>
    <n v="211204"/>
    <x v="868"/>
    <s v="Arun"/>
    <s v="Q4"/>
    <x v="1"/>
    <s v="C666"/>
  </r>
  <r>
    <s v="T10869"/>
    <s v="2021-09-08"/>
    <s v="South"/>
    <s v="Chennai"/>
    <x v="2"/>
    <s v="Service"/>
    <s v="Bank Transfer"/>
    <n v="46914"/>
    <x v="869"/>
    <s v="Sneha"/>
    <s v="Q3"/>
    <x v="0"/>
    <s v="C989"/>
  </r>
  <r>
    <s v="T10870"/>
    <s v="2024-07-08"/>
    <s v="North"/>
    <s v="Chandigarh"/>
    <x v="2"/>
    <s v="Subscription"/>
    <s v="Bank Transfer"/>
    <n v="219373"/>
    <x v="870"/>
    <s v="Karan"/>
    <s v="Q3"/>
    <x v="2"/>
    <s v="C574"/>
  </r>
  <r>
    <s v="T10871"/>
    <s v="2024-08-23"/>
    <s v="West"/>
    <s v="Pune"/>
    <x v="1"/>
    <s v="Stocks"/>
    <s v="Bank Transfer"/>
    <n v="184409"/>
    <x v="871"/>
    <s v="Karan"/>
    <s v="Q3"/>
    <x v="2"/>
    <s v="C100"/>
  </r>
  <r>
    <s v="T10872"/>
    <s v="2023-09-23"/>
    <s v="North"/>
    <s v="Delhi"/>
    <x v="2"/>
    <s v="Sales"/>
    <s v="Credit Card"/>
    <n v="115699"/>
    <x v="872"/>
    <s v="Karan"/>
    <s v="Q3"/>
    <x v="3"/>
    <s v="C929"/>
  </r>
  <r>
    <s v="T10873"/>
    <s v="2024-03-15"/>
    <s v="South"/>
    <s v="Bangalore"/>
    <x v="0"/>
    <s v="Office Supplies"/>
    <s v="Bank Transfer"/>
    <n v="154062"/>
    <x v="873"/>
    <s v="Arun"/>
    <s v="Q1"/>
    <x v="2"/>
    <s v="C311"/>
  </r>
  <r>
    <s v="T10874"/>
    <s v="2025-11-05"/>
    <s v="South"/>
    <s v="Coimbatore"/>
    <x v="2"/>
    <s v="Service"/>
    <s v="Cash"/>
    <n v="201197"/>
    <x v="874"/>
    <s v="Ravi"/>
    <s v="Q4"/>
    <x v="4"/>
    <s v="C715"/>
  </r>
  <r>
    <s v="T10875"/>
    <s v="2024-11-22"/>
    <s v="West"/>
    <s v="Mumbai"/>
    <x v="2"/>
    <s v="Subscription"/>
    <s v="UPI"/>
    <n v="233692"/>
    <x v="875"/>
    <s v="Ravi"/>
    <s v="Q4"/>
    <x v="2"/>
    <s v="C921"/>
  </r>
  <r>
    <s v="T10876"/>
    <s v="2025-06-13"/>
    <s v="South"/>
    <s v="Bangalore"/>
    <x v="1"/>
    <s v="Mutual Funds"/>
    <s v="Cash"/>
    <n v="747380"/>
    <x v="876"/>
    <s v="Anita"/>
    <s v="Q2"/>
    <x v="4"/>
    <s v="C577"/>
  </r>
  <r>
    <s v="T10877"/>
    <s v="2022-03-25"/>
    <s v="West"/>
    <s v="Mumbai"/>
    <x v="1"/>
    <s v="Bonds"/>
    <s v="UPI"/>
    <n v="213252"/>
    <x v="877"/>
    <s v="Ravi"/>
    <s v="Q1"/>
    <x v="1"/>
    <s v="C802"/>
  </r>
  <r>
    <s v="T10878"/>
    <s v="2025-04-09"/>
    <s v="South"/>
    <s v="Bangalore"/>
    <x v="2"/>
    <s v="Service"/>
    <s v="Cash"/>
    <n v="243797"/>
    <x v="878"/>
    <s v="Sneha"/>
    <s v="Q2"/>
    <x v="4"/>
    <s v="C582"/>
  </r>
  <r>
    <s v="T10879"/>
    <s v="2021-03-05"/>
    <s v="East"/>
    <s v="Kolkata"/>
    <x v="2"/>
    <s v="Sales"/>
    <s v="UPI"/>
    <n v="23335"/>
    <x v="879"/>
    <s v="Karan"/>
    <s v="Q1"/>
    <x v="0"/>
    <s v="C966"/>
  </r>
  <r>
    <s v="T10880"/>
    <s v="2021-03-01"/>
    <s v="North"/>
    <s v="Chandigarh"/>
    <x v="1"/>
    <s v="Mutual Funds"/>
    <s v="Cash"/>
    <n v="282962"/>
    <x v="880"/>
    <s v="Sneha"/>
    <s v="Q1"/>
    <x v="0"/>
    <s v="C279"/>
  </r>
  <r>
    <s v="T10881"/>
    <s v="2024-03-26"/>
    <s v="South"/>
    <s v="Coimbatore"/>
    <x v="0"/>
    <s v="Travel"/>
    <s v="UPI"/>
    <n v="127919"/>
    <x v="881"/>
    <s v="Priya"/>
    <s v="Q1"/>
    <x v="2"/>
    <s v="C694"/>
  </r>
  <r>
    <s v="T10882"/>
    <s v="2022-09-13"/>
    <s v="South"/>
    <s v="Chennai"/>
    <x v="2"/>
    <s v="Service"/>
    <s v="UPI"/>
    <n v="222230"/>
    <x v="882"/>
    <s v="Meera"/>
    <s v="Q3"/>
    <x v="1"/>
    <s v="C730"/>
  </r>
  <r>
    <s v="T10883"/>
    <s v="2024-06-02"/>
    <s v="South"/>
    <s v="Chennai"/>
    <x v="0"/>
    <s v="Utilities"/>
    <s v="Cash"/>
    <n v="198255"/>
    <x v="883"/>
    <s v="Ravi"/>
    <s v="Q2"/>
    <x v="2"/>
    <s v="C263"/>
  </r>
  <r>
    <s v="T10884"/>
    <s v="2022-03-01"/>
    <s v="South"/>
    <s v="Bangalore"/>
    <x v="0"/>
    <s v="Utilities"/>
    <s v="Credit Card"/>
    <n v="120152"/>
    <x v="884"/>
    <s v="Karan"/>
    <s v="Q1"/>
    <x v="1"/>
    <s v="C436"/>
  </r>
  <r>
    <s v="T10885"/>
    <s v="2022-11-12"/>
    <s v="East"/>
    <s v="Kolkata"/>
    <x v="0"/>
    <s v="Travel"/>
    <s v="UPI"/>
    <n v="113750"/>
    <x v="885"/>
    <s v="David"/>
    <s v="Q4"/>
    <x v="1"/>
    <s v="C726"/>
  </r>
  <r>
    <s v="T10886"/>
    <s v="2025-03-23"/>
    <s v="West"/>
    <s v="Pune"/>
    <x v="2"/>
    <s v="Commission"/>
    <s v="UPI"/>
    <n v="289903"/>
    <x v="886"/>
    <s v="Priya"/>
    <s v="Q1"/>
    <x v="4"/>
    <s v="C385"/>
  </r>
  <r>
    <s v="T10887"/>
    <s v="2022-07-21"/>
    <s v="South"/>
    <s v="Bangalore"/>
    <x v="2"/>
    <s v="Subscription"/>
    <s v="Cash"/>
    <n v="212099"/>
    <x v="887"/>
    <s v="Priya"/>
    <s v="Q3"/>
    <x v="1"/>
    <s v="C427"/>
  </r>
  <r>
    <s v="T10888"/>
    <s v="2025-07-09"/>
    <s v="North"/>
    <s v="Delhi"/>
    <x v="2"/>
    <s v="Service"/>
    <s v="Credit Card"/>
    <n v="269972"/>
    <x v="888"/>
    <s v="Sneha"/>
    <s v="Q3"/>
    <x v="4"/>
    <s v="C522"/>
  </r>
  <r>
    <s v="T10889"/>
    <s v="2021-07-17"/>
    <s v="South"/>
    <s v="Bangalore"/>
    <x v="2"/>
    <s v="Sales"/>
    <s v="Credit Card"/>
    <n v="248160"/>
    <x v="889"/>
    <s v="Anita"/>
    <s v="Q3"/>
    <x v="0"/>
    <s v="C564"/>
  </r>
  <r>
    <s v="T10890"/>
    <s v="2021-03-10"/>
    <s v="South"/>
    <s v="Chennai"/>
    <x v="1"/>
    <s v="Stocks"/>
    <s v="Credit Card"/>
    <n v="168052"/>
    <x v="890"/>
    <s v="Priya"/>
    <s v="Q1"/>
    <x v="0"/>
    <s v="C242"/>
  </r>
  <r>
    <s v="T10891"/>
    <s v="2022-05-03"/>
    <s v="West"/>
    <s v="Ahmedabad"/>
    <x v="0"/>
    <s v="Utilities"/>
    <s v="UPI"/>
    <n v="118032"/>
    <x v="891"/>
    <s v="Anita"/>
    <s v="Q2"/>
    <x v="1"/>
    <s v="C373"/>
  </r>
  <r>
    <s v="T10892"/>
    <s v="2025-08-02"/>
    <s v="East"/>
    <s v="Agartala"/>
    <x v="2"/>
    <s v="Subscription"/>
    <s v="Credit Card"/>
    <n v="215643"/>
    <x v="892"/>
    <s v="Karan"/>
    <s v="Q3"/>
    <x v="4"/>
    <s v="C338"/>
  </r>
  <r>
    <s v="T10893"/>
    <s v="2023-07-24"/>
    <s v="West"/>
    <s v="Ahmedabad"/>
    <x v="2"/>
    <s v="Subscription"/>
    <s v="UPI"/>
    <n v="137616"/>
    <x v="893"/>
    <s v="Anita"/>
    <s v="Q3"/>
    <x v="3"/>
    <s v="C104"/>
  </r>
  <r>
    <s v="T10894"/>
    <s v="2024-01-11"/>
    <s v="South"/>
    <s v="Coimbatore"/>
    <x v="2"/>
    <s v="Service"/>
    <s v="Bank Transfer"/>
    <n v="283057"/>
    <x v="894"/>
    <s v="Arun"/>
    <s v="Q1"/>
    <x v="2"/>
    <s v="C746"/>
  </r>
  <r>
    <s v="T10895"/>
    <s v="2022-08-18"/>
    <s v="South"/>
    <s v="Chennai"/>
    <x v="1"/>
    <s v="Mutual Funds"/>
    <s v="Credit Card"/>
    <n v="137923"/>
    <x v="895"/>
    <s v="Sneha"/>
    <s v="Q3"/>
    <x v="1"/>
    <s v="C298"/>
  </r>
  <r>
    <s v="T10896"/>
    <s v="2024-04-02"/>
    <s v="South"/>
    <s v="Coimbatore"/>
    <x v="2"/>
    <s v="Service"/>
    <s v="Credit Card"/>
    <n v="208982"/>
    <x v="896"/>
    <s v="Karan"/>
    <s v="Q2"/>
    <x v="2"/>
    <s v="C815"/>
  </r>
  <r>
    <s v="T10897"/>
    <s v="2021-08-03"/>
    <s v="South"/>
    <s v="Coimbatore"/>
    <x v="0"/>
    <s v="Travel"/>
    <s v="UPI"/>
    <n v="34464"/>
    <x v="897"/>
    <s v="Karan"/>
    <s v="Q3"/>
    <x v="0"/>
    <s v="C964"/>
  </r>
  <r>
    <s v="T10898"/>
    <s v="2022-11-08"/>
    <s v="West"/>
    <s v="Pune"/>
    <x v="2"/>
    <s v="Sales"/>
    <s v="UPI"/>
    <n v="55439"/>
    <x v="898"/>
    <s v="Karan"/>
    <s v="Q4"/>
    <x v="1"/>
    <s v="C818"/>
  </r>
  <r>
    <s v="T10899"/>
    <s v="2022-10-27"/>
    <s v="South"/>
    <s v="Chennai"/>
    <x v="3"/>
    <s v="Loan Repayment"/>
    <s v="UPI"/>
    <n v="232540"/>
    <x v="899"/>
    <s v="Karan"/>
    <s v="Q4"/>
    <x v="1"/>
    <s v="C693"/>
  </r>
  <r>
    <s v="T10900"/>
    <s v="2022-03-12"/>
    <s v="South"/>
    <s v="Chennai"/>
    <x v="2"/>
    <s v="Commission"/>
    <s v="Credit Card"/>
    <n v="168838"/>
    <x v="900"/>
    <s v="Anita"/>
    <s v="Q1"/>
    <x v="1"/>
    <s v="C345"/>
  </r>
  <r>
    <s v="T10901"/>
    <s v="2021-11-16"/>
    <s v="East"/>
    <s v="Agartala"/>
    <x v="0"/>
    <s v="Travel"/>
    <s v="Credit Card"/>
    <n v="60797"/>
    <x v="901"/>
    <s v="Meera"/>
    <s v="Q4"/>
    <x v="0"/>
    <s v="C397"/>
  </r>
  <r>
    <s v="T10902"/>
    <s v="2025-09-27"/>
    <s v="South"/>
    <s v="Chennai"/>
    <x v="2"/>
    <s v="Commission"/>
    <s v="UPI"/>
    <n v="228649"/>
    <x v="902"/>
    <s v="Anita"/>
    <s v="Q3"/>
    <x v="4"/>
    <s v="C419"/>
  </r>
  <r>
    <s v="T10903"/>
    <s v="2023-06-08"/>
    <s v="East"/>
    <s v="Bhubaneswar"/>
    <x v="2"/>
    <s v="Service"/>
    <s v="Cash"/>
    <n v="161844"/>
    <x v="903"/>
    <s v="Priya"/>
    <s v="Q2"/>
    <x v="3"/>
    <s v="C149"/>
  </r>
  <r>
    <s v="T10904"/>
    <s v="2021-04-10"/>
    <s v="East"/>
    <s v="Bhubaneswar"/>
    <x v="0"/>
    <s v="Utilities"/>
    <s v="Bank Transfer"/>
    <n v="77312"/>
    <x v="904"/>
    <s v="Meera"/>
    <s v="Q2"/>
    <x v="0"/>
    <s v="C430"/>
  </r>
  <r>
    <s v="T10905"/>
    <s v="2022-12-07"/>
    <s v="West"/>
    <s v="Pune"/>
    <x v="2"/>
    <s v="Service"/>
    <s v="UPI"/>
    <n v="282575"/>
    <x v="905"/>
    <s v="Ravi"/>
    <s v="Q4"/>
    <x v="1"/>
    <s v="C997"/>
  </r>
  <r>
    <s v="T10906"/>
    <s v="2021-12-21"/>
    <s v="West"/>
    <s v="Ahmedabad"/>
    <x v="3"/>
    <s v="Loan Repayment"/>
    <s v="Credit Card"/>
    <n v="235634"/>
    <x v="906"/>
    <s v="Priya"/>
    <s v="Q4"/>
    <x v="0"/>
    <s v="C189"/>
  </r>
  <r>
    <s v="T10907"/>
    <s v="2024-06-25"/>
    <s v="East"/>
    <s v="Kolkata"/>
    <x v="0"/>
    <s v="Utilities"/>
    <s v="Credit Card"/>
    <n v="187928"/>
    <x v="907"/>
    <s v="Karan"/>
    <s v="Q2"/>
    <x v="2"/>
    <s v="C201"/>
  </r>
  <r>
    <s v="T10908"/>
    <s v="2025-03-13"/>
    <s v="West"/>
    <s v="Ahmedabad"/>
    <x v="0"/>
    <s v="Salary"/>
    <s v="UPI"/>
    <n v="61983"/>
    <x v="908"/>
    <s v="Anita"/>
    <s v="Q1"/>
    <x v="4"/>
    <s v="C773"/>
  </r>
  <r>
    <s v="T10909"/>
    <s v="2025-07-06"/>
    <s v="South"/>
    <s v="Coimbatore"/>
    <x v="2"/>
    <s v="Service"/>
    <s v="Bank Transfer"/>
    <n v="137092"/>
    <x v="909"/>
    <s v="David"/>
    <s v="Q3"/>
    <x v="4"/>
    <s v="C264"/>
  </r>
  <r>
    <s v="T10910"/>
    <s v="2023-03-12"/>
    <s v="North"/>
    <s v="Delhi"/>
    <x v="0"/>
    <s v="Utilities"/>
    <s v="UPI"/>
    <n v="159002"/>
    <x v="910"/>
    <s v="Priya"/>
    <s v="Q1"/>
    <x v="3"/>
    <s v="C928"/>
  </r>
  <r>
    <s v="T10911"/>
    <s v="2024-12-07"/>
    <s v="South"/>
    <s v="Coimbatore"/>
    <x v="2"/>
    <s v="Subscription"/>
    <s v="Cash"/>
    <n v="250411"/>
    <x v="911"/>
    <s v="Priya"/>
    <s v="Q4"/>
    <x v="2"/>
    <s v="C765"/>
  </r>
  <r>
    <s v="T10912"/>
    <s v="2025-11-25"/>
    <s v="West"/>
    <s v="Pune"/>
    <x v="2"/>
    <s v="Service"/>
    <s v="UPI"/>
    <n v="157637"/>
    <x v="912"/>
    <s v="Priya"/>
    <s v="Q4"/>
    <x v="4"/>
    <s v="C260"/>
  </r>
  <r>
    <s v="T10913"/>
    <s v="2023-01-10"/>
    <s v="North"/>
    <s v="Delhi"/>
    <x v="0"/>
    <s v="Travel"/>
    <s v="Credit Card"/>
    <n v="180969"/>
    <x v="913"/>
    <s v="Arun"/>
    <s v="Q1"/>
    <x v="3"/>
    <s v="C499"/>
  </r>
  <r>
    <s v="T10914"/>
    <s v="2023-11-14"/>
    <s v="East"/>
    <s v="Kolkata"/>
    <x v="0"/>
    <s v="Marketing"/>
    <s v="Credit Card"/>
    <n v="117899"/>
    <x v="914"/>
    <s v="David"/>
    <s v="Q4"/>
    <x v="3"/>
    <s v="C990"/>
  </r>
  <r>
    <s v="T10915"/>
    <s v="2023-06-13"/>
    <s v="South"/>
    <s v="Chennai"/>
    <x v="2"/>
    <s v="Service"/>
    <s v="UPI"/>
    <n v="204316"/>
    <x v="915"/>
    <s v="David"/>
    <s v="Q2"/>
    <x v="3"/>
    <s v="C152"/>
  </r>
  <r>
    <s v="T10916"/>
    <s v="2022-07-30"/>
    <s v="West"/>
    <s v="Mumbai"/>
    <x v="2"/>
    <s v="Commission"/>
    <s v="Bank Transfer"/>
    <n v="63323"/>
    <x v="916"/>
    <s v="Meera"/>
    <s v="Q3"/>
    <x v="1"/>
    <s v="C695"/>
  </r>
  <r>
    <s v="T10917"/>
    <s v="2023-12-20"/>
    <s v="North"/>
    <s v="Lucknow"/>
    <x v="2"/>
    <s v="Commission"/>
    <s v="Credit Card"/>
    <n v="270970"/>
    <x v="917"/>
    <s v="Meera"/>
    <s v="Q4"/>
    <x v="3"/>
    <s v="C376"/>
  </r>
  <r>
    <s v="T10918"/>
    <s v="2023-11-24"/>
    <s v="South"/>
    <s v="Chennai"/>
    <x v="0"/>
    <s v="Salary"/>
    <s v="Cash"/>
    <n v="125117"/>
    <x v="918"/>
    <s v="Karan"/>
    <s v="Q4"/>
    <x v="3"/>
    <s v="C825"/>
  </r>
  <r>
    <s v="T10919"/>
    <s v="2021-10-23"/>
    <s v="East"/>
    <s v="Agartala"/>
    <x v="0"/>
    <s v="Marketing"/>
    <s v="UPI"/>
    <n v="105239"/>
    <x v="919"/>
    <s v="Arun"/>
    <s v="Q4"/>
    <x v="0"/>
    <s v="C892"/>
  </r>
  <r>
    <s v="T10920"/>
    <s v="2025-09-20"/>
    <s v="North"/>
    <s v="Delhi"/>
    <x v="0"/>
    <s v="Travel"/>
    <s v="Credit Card"/>
    <n v="121392"/>
    <x v="920"/>
    <s v="Priya"/>
    <s v="Q3"/>
    <x v="4"/>
    <s v="C133"/>
  </r>
  <r>
    <s v="T10921"/>
    <s v="2023-02-20"/>
    <s v="East"/>
    <s v="Agartala"/>
    <x v="0"/>
    <s v="Office Supplies"/>
    <s v="Credit Card"/>
    <n v="42643"/>
    <x v="921"/>
    <s v="Karan"/>
    <s v="Q1"/>
    <x v="3"/>
    <s v="C623"/>
  </r>
  <r>
    <s v="T10922"/>
    <s v="2024-09-10"/>
    <s v="North"/>
    <s v="Chandigarh"/>
    <x v="2"/>
    <s v="Commission"/>
    <s v="Cash"/>
    <n v="287906"/>
    <x v="922"/>
    <s v="Karan"/>
    <s v="Q3"/>
    <x v="2"/>
    <s v="C310"/>
  </r>
  <r>
    <s v="T10923"/>
    <s v="2022-01-04"/>
    <s v="East"/>
    <s v="Bhubaneswar"/>
    <x v="0"/>
    <s v="Travel"/>
    <s v="UPI"/>
    <n v="154017"/>
    <x v="923"/>
    <s v="David"/>
    <s v="Q1"/>
    <x v="1"/>
    <s v="C889"/>
  </r>
  <r>
    <s v="T10924"/>
    <s v="2023-05-30"/>
    <s v="East"/>
    <s v="Agartala"/>
    <x v="2"/>
    <s v="Subscription"/>
    <s v="UPI"/>
    <n v="163791"/>
    <x v="924"/>
    <s v="Sneha"/>
    <s v="Q2"/>
    <x v="3"/>
    <s v="C104"/>
  </r>
  <r>
    <s v="T10925"/>
    <s v="2021-09-06"/>
    <s v="South"/>
    <s v="Chennai"/>
    <x v="2"/>
    <s v="Subscription"/>
    <s v="UPI"/>
    <n v="207698"/>
    <x v="925"/>
    <s v="Meera"/>
    <s v="Q3"/>
    <x v="0"/>
    <s v="C958"/>
  </r>
  <r>
    <s v="T10926"/>
    <s v="2023-05-29"/>
    <s v="East"/>
    <s v="Kolkata"/>
    <x v="0"/>
    <s v="Office Supplies"/>
    <s v="UPI"/>
    <n v="140134"/>
    <x v="926"/>
    <s v="David"/>
    <s v="Q2"/>
    <x v="3"/>
    <s v="C197"/>
  </r>
  <r>
    <s v="T10927"/>
    <s v="2021-05-04"/>
    <s v="South"/>
    <s v="Bangalore"/>
    <x v="2"/>
    <s v="Sales"/>
    <s v="UPI"/>
    <n v="258194"/>
    <x v="927"/>
    <s v="Sneha"/>
    <s v="Q2"/>
    <x v="0"/>
    <s v="C613"/>
  </r>
  <r>
    <s v="T10928"/>
    <s v="2023-03-12"/>
    <s v="South"/>
    <s v="Chennai"/>
    <x v="2"/>
    <s v="Service"/>
    <s v="UPI"/>
    <n v="65063"/>
    <x v="928"/>
    <s v="Karan"/>
    <s v="Q1"/>
    <x v="3"/>
    <s v="C872"/>
  </r>
  <r>
    <s v="T10929"/>
    <s v="2024-09-05"/>
    <s v="East"/>
    <s v="Agartala"/>
    <x v="0"/>
    <s v="Salary"/>
    <s v="UPI"/>
    <n v="161459"/>
    <x v="929"/>
    <s v="Priya"/>
    <s v="Q3"/>
    <x v="2"/>
    <s v="C298"/>
  </r>
  <r>
    <s v="T10930"/>
    <s v="2025-09-29"/>
    <s v="North"/>
    <s v="Lucknow"/>
    <x v="0"/>
    <s v="Utilities"/>
    <s v="Bank Transfer"/>
    <n v="181067"/>
    <x v="930"/>
    <s v="David"/>
    <s v="Q3"/>
    <x v="4"/>
    <s v="C402"/>
  </r>
  <r>
    <s v="T10931"/>
    <s v="2024-06-15"/>
    <s v="West"/>
    <s v="Pune"/>
    <x v="2"/>
    <s v="Subscription"/>
    <s v="Bank Transfer"/>
    <n v="236875"/>
    <x v="931"/>
    <s v="Priya"/>
    <s v="Q2"/>
    <x v="2"/>
    <s v="C296"/>
  </r>
  <r>
    <s v="T10932"/>
    <s v="2024-11-28"/>
    <s v="South"/>
    <s v="Chennai"/>
    <x v="0"/>
    <s v="Travel"/>
    <s v="Bank Transfer"/>
    <n v="134124"/>
    <x v="932"/>
    <s v="Meera"/>
    <s v="Q4"/>
    <x v="2"/>
    <s v="C209"/>
  </r>
  <r>
    <s v="T10933"/>
    <s v="2025-09-03"/>
    <s v="East"/>
    <s v="Bhubaneswar"/>
    <x v="3"/>
    <s v="Loan Repayment"/>
    <s v="Cash"/>
    <n v="166220"/>
    <x v="933"/>
    <s v="Priya"/>
    <s v="Q3"/>
    <x v="4"/>
    <s v="C861"/>
  </r>
  <r>
    <s v="T10934"/>
    <s v="2024-05-08"/>
    <s v="West"/>
    <s v="Pune"/>
    <x v="2"/>
    <s v="Sales"/>
    <s v="Bank Transfer"/>
    <n v="190318"/>
    <x v="934"/>
    <s v="David"/>
    <s v="Q2"/>
    <x v="2"/>
    <s v="C157"/>
  </r>
  <r>
    <s v="T10935"/>
    <s v="2024-11-01"/>
    <s v="West"/>
    <s v="Mumbai"/>
    <x v="2"/>
    <s v="Subscription"/>
    <s v="UPI"/>
    <n v="282637"/>
    <x v="935"/>
    <s v="Meera"/>
    <s v="Q4"/>
    <x v="2"/>
    <s v="C232"/>
  </r>
  <r>
    <s v="T10936"/>
    <s v="2022-06-03"/>
    <s v="West"/>
    <s v="Mumbai"/>
    <x v="0"/>
    <s v="Office Supplies"/>
    <s v="UPI"/>
    <n v="88813"/>
    <x v="936"/>
    <s v="Priya"/>
    <s v="Q2"/>
    <x v="1"/>
    <s v="C486"/>
  </r>
  <r>
    <s v="T10937"/>
    <s v="2025-11-03"/>
    <s v="North"/>
    <s v="Lucknow"/>
    <x v="0"/>
    <s v="Office Supplies"/>
    <s v="Cash"/>
    <n v="151981"/>
    <x v="937"/>
    <s v="David"/>
    <s v="Q4"/>
    <x v="4"/>
    <s v="C595"/>
  </r>
  <r>
    <s v="T10938"/>
    <s v="2021-04-27"/>
    <s v="North"/>
    <s v="Lucknow"/>
    <x v="2"/>
    <s v="Sales"/>
    <s v="UPI"/>
    <n v="119201"/>
    <x v="938"/>
    <s v="David"/>
    <s v="Q2"/>
    <x v="0"/>
    <s v="C274"/>
  </r>
  <r>
    <s v="T10939"/>
    <s v="2022-03-11"/>
    <s v="East"/>
    <s v="Bhubaneswar"/>
    <x v="3"/>
    <s v="Loan Disbursement"/>
    <s v="Credit Card"/>
    <n v="112075"/>
    <x v="939"/>
    <s v="Ravi"/>
    <s v="Q1"/>
    <x v="1"/>
    <s v="C135"/>
  </r>
  <r>
    <s v="T10940"/>
    <s v="2024-06-02"/>
    <s v="North"/>
    <s v="Lucknow"/>
    <x v="2"/>
    <s v="Sales"/>
    <s v="Credit Card"/>
    <n v="128088"/>
    <x v="940"/>
    <s v="Arun"/>
    <s v="Q2"/>
    <x v="2"/>
    <s v="C192"/>
  </r>
  <r>
    <s v="T10941"/>
    <s v="2022-01-19"/>
    <s v="West"/>
    <s v="Pune"/>
    <x v="0"/>
    <s v="Travel"/>
    <s v="Credit Card"/>
    <n v="52209"/>
    <x v="941"/>
    <s v="Karan"/>
    <s v="Q1"/>
    <x v="1"/>
    <s v="C385"/>
  </r>
  <r>
    <s v="T10942"/>
    <s v="2022-10-06"/>
    <s v="East"/>
    <s v="Agartala"/>
    <x v="0"/>
    <s v="Travel"/>
    <s v="Bank Transfer"/>
    <n v="27779"/>
    <x v="942"/>
    <s v="Sneha"/>
    <s v="Q4"/>
    <x v="1"/>
    <s v="C730"/>
  </r>
  <r>
    <s v="T10943"/>
    <s v="2021-03-03"/>
    <s v="South"/>
    <s v="Coimbatore"/>
    <x v="0"/>
    <s v="Marketing"/>
    <s v="UPI"/>
    <n v="87535"/>
    <x v="943"/>
    <s v="Karan"/>
    <s v="Q1"/>
    <x v="0"/>
    <s v="C675"/>
  </r>
  <r>
    <s v="T10944"/>
    <s v="2023-12-08"/>
    <s v="West"/>
    <s v="Pune"/>
    <x v="3"/>
    <s v="Loan Repayment"/>
    <s v="Bank Transfer"/>
    <n v="92627"/>
    <x v="944"/>
    <s v="Meera"/>
    <s v="Q4"/>
    <x v="3"/>
    <s v="C672"/>
  </r>
  <r>
    <s v="T10945"/>
    <s v="2023-06-10"/>
    <s v="South"/>
    <s v="Coimbatore"/>
    <x v="0"/>
    <s v="Travel"/>
    <s v="Cash"/>
    <n v="161610"/>
    <x v="945"/>
    <s v="Meera"/>
    <s v="Q2"/>
    <x v="3"/>
    <s v="C893"/>
  </r>
  <r>
    <s v="T10946"/>
    <s v="2025-05-18"/>
    <s v="South"/>
    <s v="Bangalore"/>
    <x v="0"/>
    <s v="Marketing"/>
    <s v="Bank Transfer"/>
    <n v="91886"/>
    <x v="946"/>
    <s v="Sneha"/>
    <s v="Q2"/>
    <x v="4"/>
    <s v="C407"/>
  </r>
  <r>
    <s v="T10947"/>
    <s v="2025-08-28"/>
    <s v="North"/>
    <s v="Chandigarh"/>
    <x v="2"/>
    <s v="Commission"/>
    <s v="UPI"/>
    <n v="54169"/>
    <x v="947"/>
    <s v="Anita"/>
    <s v="Q3"/>
    <x v="4"/>
    <s v="C428"/>
  </r>
  <r>
    <s v="T10948"/>
    <s v="2024-04-23"/>
    <s v="West"/>
    <s v="Ahmedabad"/>
    <x v="0"/>
    <s v="Travel"/>
    <s v="UPI"/>
    <n v="189471"/>
    <x v="948"/>
    <s v="Meera"/>
    <s v="Q2"/>
    <x v="2"/>
    <s v="C321"/>
  </r>
  <r>
    <s v="T10949"/>
    <s v="2023-01-01"/>
    <s v="East"/>
    <s v="Agartala"/>
    <x v="3"/>
    <s v="Loan Disbursement"/>
    <s v="Credit Card"/>
    <n v="43404"/>
    <x v="949"/>
    <s v="Priya"/>
    <s v="Q1"/>
    <x v="3"/>
    <s v="C673"/>
  </r>
  <r>
    <s v="T10950"/>
    <s v="2022-12-31"/>
    <s v="North"/>
    <s v="Delhi"/>
    <x v="1"/>
    <s v="FD"/>
    <s v="UPI"/>
    <n v="420139"/>
    <x v="950"/>
    <s v="Ravi"/>
    <s v="Q4"/>
    <x v="1"/>
    <s v="C480"/>
  </r>
  <r>
    <s v="T10951"/>
    <s v="2022-09-01"/>
    <s v="East"/>
    <s v="Kolkata"/>
    <x v="0"/>
    <s v="Office Supplies"/>
    <s v="UPI"/>
    <n v="180049"/>
    <x v="951"/>
    <s v="Sneha"/>
    <s v="Q3"/>
    <x v="1"/>
    <s v="C260"/>
  </r>
  <r>
    <s v="T10952"/>
    <s v="2021-04-29"/>
    <s v="North"/>
    <s v="Delhi"/>
    <x v="3"/>
    <s v="Loan Repayment"/>
    <s v="UPI"/>
    <n v="19475"/>
    <x v="952"/>
    <s v="Karan"/>
    <s v="Q2"/>
    <x v="0"/>
    <s v="C409"/>
  </r>
  <r>
    <s v="T10953"/>
    <s v="2025-03-16"/>
    <s v="East"/>
    <s v="Agartala"/>
    <x v="2"/>
    <s v="Commission"/>
    <s v="Credit Card"/>
    <n v="30735"/>
    <x v="953"/>
    <s v="Ravi"/>
    <s v="Q1"/>
    <x v="4"/>
    <s v="C494"/>
  </r>
  <r>
    <s v="T10954"/>
    <s v="2023-11-27"/>
    <s v="East"/>
    <s v="Bhubaneswar"/>
    <x v="2"/>
    <s v="Commission"/>
    <s v="UPI"/>
    <n v="136245"/>
    <x v="954"/>
    <s v="David"/>
    <s v="Q4"/>
    <x v="3"/>
    <s v="C222"/>
  </r>
  <r>
    <s v="T10955"/>
    <s v="2024-09-22"/>
    <s v="North"/>
    <s v="Delhi"/>
    <x v="0"/>
    <s v="Office Supplies"/>
    <s v="UPI"/>
    <n v="32619"/>
    <x v="955"/>
    <s v="David"/>
    <s v="Q3"/>
    <x v="2"/>
    <s v="C351"/>
  </r>
  <r>
    <s v="T10956"/>
    <s v="2024-01-26"/>
    <s v="East"/>
    <s v="Kolkata"/>
    <x v="2"/>
    <s v="Service"/>
    <s v="Bank Transfer"/>
    <n v="249298"/>
    <x v="956"/>
    <s v="Arun"/>
    <s v="Q1"/>
    <x v="2"/>
    <s v="C456"/>
  </r>
  <r>
    <s v="T10957"/>
    <s v="2021-07-05"/>
    <s v="North"/>
    <s v="Chandigarh"/>
    <x v="0"/>
    <s v="Utilities"/>
    <s v="UPI"/>
    <n v="83406"/>
    <x v="957"/>
    <s v="Karan"/>
    <s v="Q3"/>
    <x v="0"/>
    <s v="C551"/>
  </r>
  <r>
    <s v="T10958"/>
    <s v="2021-11-04"/>
    <s v="North"/>
    <s v="Chandigarh"/>
    <x v="0"/>
    <s v="Marketing"/>
    <s v="Credit Card"/>
    <n v="166693"/>
    <x v="958"/>
    <s v="Anita"/>
    <s v="Q4"/>
    <x v="0"/>
    <s v="C317"/>
  </r>
  <r>
    <s v="T10959"/>
    <s v="2021-01-22"/>
    <s v="South"/>
    <s v="Bangalore"/>
    <x v="2"/>
    <s v="Commission"/>
    <s v="Credit Card"/>
    <n v="131506"/>
    <x v="959"/>
    <s v="Anita"/>
    <s v="Q1"/>
    <x v="0"/>
    <s v="C110"/>
  </r>
  <r>
    <s v="T10960"/>
    <s v="2021-09-19"/>
    <s v="South"/>
    <s v="Bangalore"/>
    <x v="2"/>
    <s v="Commission"/>
    <s v="Cash"/>
    <n v="127225"/>
    <x v="960"/>
    <s v="Sneha"/>
    <s v="Q3"/>
    <x v="0"/>
    <s v="C321"/>
  </r>
  <r>
    <s v="T10961"/>
    <s v="2022-04-12"/>
    <s v="North"/>
    <s v="Chandigarh"/>
    <x v="2"/>
    <s v="Commission"/>
    <s v="UPI"/>
    <n v="64560"/>
    <x v="961"/>
    <s v="Arun"/>
    <s v="Q2"/>
    <x v="1"/>
    <s v="C996"/>
  </r>
  <r>
    <s v="T10962"/>
    <s v="2021-03-25"/>
    <s v="West"/>
    <s v="Ahmedabad"/>
    <x v="0"/>
    <s v="Travel"/>
    <s v="UPI"/>
    <n v="95000"/>
    <x v="962"/>
    <s v="Anita"/>
    <s v="Q1"/>
    <x v="0"/>
    <s v="C451"/>
  </r>
  <r>
    <s v="T10963"/>
    <s v="2021-03-27"/>
    <s v="North"/>
    <s v="Lucknow"/>
    <x v="2"/>
    <s v="Sales"/>
    <s v="UPI"/>
    <n v="105028"/>
    <x v="963"/>
    <s v="David"/>
    <s v="Q1"/>
    <x v="0"/>
    <s v="C116"/>
  </r>
  <r>
    <s v="T10964"/>
    <s v="2021-08-18"/>
    <s v="South"/>
    <s v="Coimbatore"/>
    <x v="2"/>
    <s v="Subscription"/>
    <s v="Bank Transfer"/>
    <n v="230005"/>
    <x v="964"/>
    <s v="Anita"/>
    <s v="Q3"/>
    <x v="0"/>
    <s v="C373"/>
  </r>
  <r>
    <s v="T10965"/>
    <s v="2022-08-07"/>
    <s v="East"/>
    <s v="Agartala"/>
    <x v="2"/>
    <s v="Service"/>
    <s v="Bank Transfer"/>
    <n v="91179"/>
    <x v="965"/>
    <s v="Anita"/>
    <s v="Q3"/>
    <x v="1"/>
    <s v="C924"/>
  </r>
  <r>
    <s v="T10966"/>
    <s v="2021-02-17"/>
    <s v="West"/>
    <s v="Ahmedabad"/>
    <x v="0"/>
    <s v="Office Supplies"/>
    <s v="Bank Transfer"/>
    <n v="32702"/>
    <x v="966"/>
    <s v="Anita"/>
    <s v="Q1"/>
    <x v="0"/>
    <s v="C535"/>
  </r>
  <r>
    <s v="T10967"/>
    <s v="2024-10-07"/>
    <s v="North"/>
    <s v="Delhi"/>
    <x v="2"/>
    <s v="Subscription"/>
    <s v="Credit Card"/>
    <n v="223480"/>
    <x v="967"/>
    <s v="Sneha"/>
    <s v="Q4"/>
    <x v="2"/>
    <s v="C108"/>
  </r>
  <r>
    <s v="T10968"/>
    <s v="2024-08-17"/>
    <s v="East"/>
    <s v="Agartala"/>
    <x v="2"/>
    <s v="Commission"/>
    <s v="Cash"/>
    <n v="205645"/>
    <x v="968"/>
    <s v="David"/>
    <s v="Q3"/>
    <x v="2"/>
    <s v="C100"/>
  </r>
  <r>
    <s v="T10969"/>
    <s v="2021-08-03"/>
    <s v="South"/>
    <s v="Coimbatore"/>
    <x v="2"/>
    <s v="Sales"/>
    <s v="Credit Card"/>
    <n v="250044"/>
    <x v="969"/>
    <s v="Sneha"/>
    <s v="Q3"/>
    <x v="0"/>
    <s v="C470"/>
  </r>
  <r>
    <s v="T10970"/>
    <s v="2025-10-15"/>
    <s v="North"/>
    <s v="Chandigarh"/>
    <x v="0"/>
    <s v="Travel"/>
    <s v="Bank Transfer"/>
    <n v="70521"/>
    <x v="970"/>
    <s v="David"/>
    <s v="Q4"/>
    <x v="4"/>
    <s v="C857"/>
  </r>
  <r>
    <s v="T10971"/>
    <s v="2022-09-21"/>
    <s v="West"/>
    <s v="Pune"/>
    <x v="2"/>
    <s v="Service"/>
    <s v="Credit Card"/>
    <n v="180722"/>
    <x v="971"/>
    <s v="Arun"/>
    <s v="Q3"/>
    <x v="1"/>
    <s v="C369"/>
  </r>
  <r>
    <s v="T10972"/>
    <s v="2023-11-08"/>
    <s v="South"/>
    <s v="Bangalore"/>
    <x v="0"/>
    <s v="Office Supplies"/>
    <s v="Credit Card"/>
    <n v="21529"/>
    <x v="972"/>
    <s v="Anita"/>
    <s v="Q4"/>
    <x v="3"/>
    <s v="C146"/>
  </r>
  <r>
    <s v="T10973"/>
    <s v="2023-09-07"/>
    <s v="North"/>
    <s v="Lucknow"/>
    <x v="0"/>
    <s v="Salary"/>
    <s v="Bank Transfer"/>
    <n v="146737"/>
    <x v="973"/>
    <s v="Anita"/>
    <s v="Q3"/>
    <x v="3"/>
    <s v="C577"/>
  </r>
  <r>
    <s v="T10974"/>
    <s v="2021-12-29"/>
    <s v="West"/>
    <s v="Pune"/>
    <x v="0"/>
    <s v="Utilities"/>
    <s v="Credit Card"/>
    <n v="73792"/>
    <x v="974"/>
    <s v="Anita"/>
    <s v="Q4"/>
    <x v="0"/>
    <s v="C214"/>
  </r>
  <r>
    <s v="T10975"/>
    <s v="2023-11-24"/>
    <s v="East"/>
    <s v="Agartala"/>
    <x v="2"/>
    <s v="Subscription"/>
    <s v="Bank Transfer"/>
    <n v="184620"/>
    <x v="975"/>
    <s v="Sneha"/>
    <s v="Q4"/>
    <x v="3"/>
    <s v="C889"/>
  </r>
  <r>
    <s v="T10976"/>
    <s v="2022-06-09"/>
    <s v="South"/>
    <s v="Bangalore"/>
    <x v="2"/>
    <s v="Service"/>
    <s v="Credit Card"/>
    <n v="208650"/>
    <x v="976"/>
    <s v="Meera"/>
    <s v="Q2"/>
    <x v="1"/>
    <s v="C960"/>
  </r>
  <r>
    <s v="T10977"/>
    <s v="2025-04-07"/>
    <s v="North"/>
    <s v="Delhi"/>
    <x v="0"/>
    <s v="Office Supplies"/>
    <s v="UPI"/>
    <n v="28260"/>
    <x v="977"/>
    <s v="Meera"/>
    <s v="Q2"/>
    <x v="4"/>
    <s v="C103"/>
  </r>
  <r>
    <s v="T10978"/>
    <s v="2025-03-09"/>
    <s v="North"/>
    <s v="Delhi"/>
    <x v="0"/>
    <s v="Salary"/>
    <s v="Bank Transfer"/>
    <n v="26023"/>
    <x v="978"/>
    <s v="Ravi"/>
    <s v="Q1"/>
    <x v="4"/>
    <s v="C485"/>
  </r>
  <r>
    <s v="T10979"/>
    <s v="2024-08-20"/>
    <s v="South"/>
    <s v="Bangalore"/>
    <x v="2"/>
    <s v="Sales"/>
    <s v="Credit Card"/>
    <n v="205352"/>
    <x v="979"/>
    <s v="David"/>
    <s v="Q3"/>
    <x v="2"/>
    <s v="C735"/>
  </r>
  <r>
    <s v="T10980"/>
    <s v="2021-10-09"/>
    <s v="South"/>
    <s v="Bangalore"/>
    <x v="2"/>
    <s v="Service"/>
    <s v="Credit Card"/>
    <n v="288851"/>
    <x v="980"/>
    <s v="David"/>
    <s v="Q4"/>
    <x v="0"/>
    <s v="C474"/>
  </r>
  <r>
    <s v="T10981"/>
    <s v="2025-05-17"/>
    <s v="South"/>
    <s v="Bangalore"/>
    <x v="2"/>
    <s v="Commission"/>
    <s v="UPI"/>
    <n v="103191"/>
    <x v="981"/>
    <s v="Arun"/>
    <s v="Q2"/>
    <x v="4"/>
    <s v="C399"/>
  </r>
  <r>
    <s v="T10982"/>
    <s v="2022-12-28"/>
    <s v="North"/>
    <s v="Delhi"/>
    <x v="1"/>
    <s v="FD"/>
    <s v="Credit Card"/>
    <n v="685222"/>
    <x v="982"/>
    <s v="Karan"/>
    <s v="Q4"/>
    <x v="1"/>
    <s v="C279"/>
  </r>
  <r>
    <s v="T10983"/>
    <s v="2023-04-23"/>
    <s v="South"/>
    <s v="Chennai"/>
    <x v="2"/>
    <s v="Service"/>
    <s v="UPI"/>
    <n v="196564"/>
    <x v="983"/>
    <s v="Karan"/>
    <s v="Q2"/>
    <x v="3"/>
    <s v="C530"/>
  </r>
  <r>
    <s v="T10984"/>
    <s v="2024-08-17"/>
    <s v="East"/>
    <s v="Bhubaneswar"/>
    <x v="2"/>
    <s v="Commission"/>
    <s v="UPI"/>
    <n v="253096"/>
    <x v="984"/>
    <s v="Karan"/>
    <s v="Q3"/>
    <x v="2"/>
    <s v="C447"/>
  </r>
  <r>
    <s v="T10985"/>
    <s v="2024-02-17"/>
    <s v="East"/>
    <s v="Bhubaneswar"/>
    <x v="2"/>
    <s v="Sales"/>
    <s v="UPI"/>
    <n v="121712"/>
    <x v="985"/>
    <s v="David"/>
    <s v="Q1"/>
    <x v="2"/>
    <s v="C363"/>
  </r>
  <r>
    <s v="T10986"/>
    <s v="2022-06-06"/>
    <s v="South"/>
    <s v="Bangalore"/>
    <x v="0"/>
    <s v="Marketing"/>
    <s v="Bank Transfer"/>
    <n v="27428"/>
    <x v="986"/>
    <s v="Sneha"/>
    <s v="Q2"/>
    <x v="1"/>
    <s v="C830"/>
  </r>
  <r>
    <s v="T10987"/>
    <s v="2022-04-05"/>
    <s v="North"/>
    <s v="Lucknow"/>
    <x v="2"/>
    <s v="Subscription"/>
    <s v="UPI"/>
    <n v="255571"/>
    <x v="987"/>
    <s v="Karan"/>
    <s v="Q2"/>
    <x v="1"/>
    <s v="C576"/>
  </r>
  <r>
    <s v="T10988"/>
    <s v="2025-10-15"/>
    <s v="South"/>
    <s v="Bangalore"/>
    <x v="1"/>
    <s v="FD"/>
    <s v="Credit Card"/>
    <n v="426328"/>
    <x v="988"/>
    <s v="Sneha"/>
    <s v="Q4"/>
    <x v="4"/>
    <s v="C164"/>
  </r>
  <r>
    <s v="T10989"/>
    <s v="2024-08-10"/>
    <s v="South"/>
    <s v="Coimbatore"/>
    <x v="0"/>
    <s v="Utilities"/>
    <s v="UPI"/>
    <n v="62904"/>
    <x v="989"/>
    <s v="Anita"/>
    <s v="Q3"/>
    <x v="2"/>
    <s v="C247"/>
  </r>
  <r>
    <s v="T10990"/>
    <s v="2021-02-21"/>
    <s v="North"/>
    <s v="Lucknow"/>
    <x v="2"/>
    <s v="Commission"/>
    <s v="Bank Transfer"/>
    <n v="248313"/>
    <x v="990"/>
    <s v="Arun"/>
    <s v="Q1"/>
    <x v="0"/>
    <s v="C188"/>
  </r>
  <r>
    <s v="T10991"/>
    <s v="2022-01-02"/>
    <s v="North"/>
    <s v="Lucknow"/>
    <x v="2"/>
    <s v="Subscription"/>
    <s v="Credit Card"/>
    <n v="110176"/>
    <x v="991"/>
    <s v="Ravi"/>
    <s v="Q1"/>
    <x v="1"/>
    <s v="C483"/>
  </r>
  <r>
    <s v="T10992"/>
    <s v="2023-07-23"/>
    <s v="South"/>
    <s v="Bangalore"/>
    <x v="2"/>
    <s v="Sales"/>
    <s v="Credit Card"/>
    <n v="160572"/>
    <x v="992"/>
    <s v="Priya"/>
    <s v="Q3"/>
    <x v="3"/>
    <s v="C611"/>
  </r>
  <r>
    <s v="T10993"/>
    <s v="2025-07-27"/>
    <s v="North"/>
    <s v="Lucknow"/>
    <x v="2"/>
    <s v="Subscription"/>
    <s v="Credit Card"/>
    <n v="293826"/>
    <x v="993"/>
    <s v="Karan"/>
    <s v="Q3"/>
    <x v="4"/>
    <s v="C171"/>
  </r>
  <r>
    <s v="T10994"/>
    <s v="2023-04-10"/>
    <s v="West"/>
    <s v="Pune"/>
    <x v="3"/>
    <s v="Loan Disbursement"/>
    <s v="Cash"/>
    <n v="42875"/>
    <x v="994"/>
    <s v="Priya"/>
    <s v="Q2"/>
    <x v="3"/>
    <s v="C911"/>
  </r>
  <r>
    <s v="T10995"/>
    <s v="2022-12-07"/>
    <s v="South"/>
    <s v="Chennai"/>
    <x v="1"/>
    <s v="Bonds"/>
    <s v="UPI"/>
    <n v="677336"/>
    <x v="995"/>
    <s v="Karan"/>
    <s v="Q4"/>
    <x v="1"/>
    <s v="C662"/>
  </r>
  <r>
    <s v="T10996"/>
    <s v="2024-10-24"/>
    <s v="North"/>
    <s v="Chandigarh"/>
    <x v="2"/>
    <s v="Service"/>
    <s v="Credit Card"/>
    <n v="228588"/>
    <x v="996"/>
    <s v="Arun"/>
    <s v="Q4"/>
    <x v="2"/>
    <s v="C413"/>
  </r>
  <r>
    <s v="T10997"/>
    <s v="2024-08-27"/>
    <s v="North"/>
    <s v="Chandigarh"/>
    <x v="2"/>
    <s v="Commission"/>
    <s v="Credit Card"/>
    <n v="156857"/>
    <x v="997"/>
    <s v="Anita"/>
    <s v="Q3"/>
    <x v="2"/>
    <s v="C511"/>
  </r>
  <r>
    <s v="T10998"/>
    <s v="2022-11-16"/>
    <s v="South"/>
    <s v="Chennai"/>
    <x v="1"/>
    <s v="Bonds"/>
    <s v="Credit Card"/>
    <n v="89806"/>
    <x v="998"/>
    <s v="Karan"/>
    <s v="Q4"/>
    <x v="1"/>
    <s v="C952"/>
  </r>
  <r>
    <s v="T10999"/>
    <s v="2025-11-08"/>
    <s v="West"/>
    <s v="Mumbai"/>
    <x v="2"/>
    <s v="Subscription"/>
    <s v="Credit Card"/>
    <n v="185721"/>
    <x v="999"/>
    <s v="Ravi"/>
    <s v="Q4"/>
    <x v="4"/>
    <s v="C8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D85DC9-F815-4932-85C5-18B0B249B8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12:H17"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Sum of ProfitLoss" fld="0" baseField="0" baseItem="0"/>
  </dataFields>
  <chartFormats count="1">
    <chartFormat chart="6" format="0"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nce_Analytics_Dashboard_Dark.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EBD302-A7E2-4B8B-980C-87D3172E3B32}" sourceName="Year">
  <data>
    <tabular pivotCacheId="487346969">
      <items count="5">
        <i x="0"/>
        <i x="1" s="1"/>
        <i x="3"/>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967846B-7AFA-4413-ABC5-383D312CFE8D}" cache="Slicer_Year" caption="Yea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eData" displayName="FinanceData" ref="A1:M1001">
  <autoFilter ref="A1:M1001" xr:uid="{00000000-0009-0000-0100-000001000000}"/>
  <tableColumns count="13">
    <tableColumn id="1" xr3:uid="{00000000-0010-0000-0000-000001000000}" name="TransactionID"/>
    <tableColumn id="2" xr3:uid="{00000000-0010-0000-0000-000002000000}" name="Date"/>
    <tableColumn id="3" xr3:uid="{00000000-0010-0000-0000-000003000000}" name="Region"/>
    <tableColumn id="4" xr3:uid="{00000000-0010-0000-0000-000004000000}" name="Branch"/>
    <tableColumn id="5" xr3:uid="{00000000-0010-0000-0000-000005000000}" name="Category"/>
    <tableColumn id="6" xr3:uid="{00000000-0010-0000-0000-000006000000}" name="SubCategory"/>
    <tableColumn id="7" xr3:uid="{00000000-0010-0000-0000-000007000000}" name="PaymentMode"/>
    <tableColumn id="8" xr3:uid="{00000000-0010-0000-0000-000008000000}" name="Amount"/>
    <tableColumn id="9" xr3:uid="{00000000-0010-0000-0000-000009000000}" name="ProfitLoss"/>
    <tableColumn id="10" xr3:uid="{00000000-0010-0000-0000-00000A000000}" name="AccountManager"/>
    <tableColumn id="11" xr3:uid="{00000000-0010-0000-0000-00000B000000}" name="Quarter"/>
    <tableColumn id="12" xr3:uid="{00000000-0010-0000-0000-00000C000000}" name="Year"/>
    <tableColumn id="13" xr3:uid="{00000000-0010-0000-0000-00000D000000}" name="CustomerID"/>
  </tableColumns>
  <tableStyleInfo name="TableStyleMedium9" showFirstColumn="0" showLastColumn="0" showRowStripes="1" showColumnStripes="0"/>
</table>
</file>

<file path=xl/theme/theme1.xml><?xml version="1.0" encoding="utf-8"?>
<a:theme xmlns:a="http://schemas.openxmlformats.org/drawingml/2006/main" name="Gallery">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ilk Glas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opLeftCell="A2" workbookViewId="0">
      <selection sqref="A1:M179"/>
    </sheetView>
  </sheetViews>
  <sheetFormatPr defaultRowHeight="14.5" x14ac:dyDescent="0.35"/>
  <cols>
    <col min="5" max="5" width="15.08984375" customWidth="1"/>
    <col min="6" max="6" width="16.08984375" customWidth="1"/>
    <col min="7" max="7" width="14.08984375" customWidth="1"/>
    <col min="8" max="8" width="13.26953125" customWidth="1"/>
    <col min="9" max="9" width="17.26953125" customWidth="1"/>
    <col min="10" max="10" width="13" customWidth="1"/>
    <col min="11" max="11" width="12.1796875" customWidth="1"/>
    <col min="12" max="12" width="12.08984375" customWidth="1"/>
    <col min="13" max="13" width="13.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t="s">
        <v>18</v>
      </c>
      <c r="G2" t="s">
        <v>19</v>
      </c>
      <c r="H2">
        <v>199567</v>
      </c>
      <c r="I2">
        <v>-140395.73000000001</v>
      </c>
      <c r="J2" t="s">
        <v>20</v>
      </c>
      <c r="K2" t="s">
        <v>21</v>
      </c>
      <c r="L2">
        <v>2021</v>
      </c>
      <c r="M2" t="s">
        <v>22</v>
      </c>
    </row>
    <row r="3" spans="1:13" x14ac:dyDescent="0.35">
      <c r="A3" t="s">
        <v>23</v>
      </c>
      <c r="B3" t="s">
        <v>24</v>
      </c>
      <c r="C3" t="s">
        <v>25</v>
      </c>
      <c r="D3" t="s">
        <v>26</v>
      </c>
      <c r="E3" t="s">
        <v>27</v>
      </c>
      <c r="F3" t="s">
        <v>28</v>
      </c>
      <c r="G3" t="s">
        <v>19</v>
      </c>
      <c r="H3">
        <v>238722</v>
      </c>
      <c r="I3">
        <v>-204.59</v>
      </c>
      <c r="J3" t="s">
        <v>29</v>
      </c>
      <c r="K3" t="s">
        <v>30</v>
      </c>
      <c r="L3">
        <v>2022</v>
      </c>
      <c r="M3" t="s">
        <v>31</v>
      </c>
    </row>
    <row r="4" spans="1:13" x14ac:dyDescent="0.35">
      <c r="A4" t="s">
        <v>32</v>
      </c>
      <c r="B4" t="s">
        <v>33</v>
      </c>
      <c r="C4" t="s">
        <v>25</v>
      </c>
      <c r="D4" t="s">
        <v>26</v>
      </c>
      <c r="E4" t="s">
        <v>34</v>
      </c>
      <c r="F4" t="s">
        <v>35</v>
      </c>
      <c r="G4" t="s">
        <v>36</v>
      </c>
      <c r="H4">
        <v>190597</v>
      </c>
      <c r="I4">
        <v>43434.54</v>
      </c>
      <c r="J4" t="s">
        <v>20</v>
      </c>
      <c r="K4" t="s">
        <v>21</v>
      </c>
      <c r="L4">
        <v>2024</v>
      </c>
      <c r="M4" t="s">
        <v>37</v>
      </c>
    </row>
    <row r="5" spans="1:13" x14ac:dyDescent="0.35">
      <c r="A5" t="s">
        <v>38</v>
      </c>
      <c r="B5" t="s">
        <v>39</v>
      </c>
      <c r="C5" t="s">
        <v>40</v>
      </c>
      <c r="D5" t="s">
        <v>41</v>
      </c>
      <c r="E5" t="s">
        <v>17</v>
      </c>
      <c r="F5" t="s">
        <v>42</v>
      </c>
      <c r="G5" t="s">
        <v>36</v>
      </c>
      <c r="H5">
        <v>58142</v>
      </c>
      <c r="I5">
        <v>-43561.33</v>
      </c>
      <c r="J5" t="s">
        <v>20</v>
      </c>
      <c r="K5" t="s">
        <v>21</v>
      </c>
      <c r="L5">
        <v>2024</v>
      </c>
      <c r="M5" t="s">
        <v>43</v>
      </c>
    </row>
    <row r="6" spans="1:13" x14ac:dyDescent="0.35">
      <c r="A6" t="s">
        <v>44</v>
      </c>
      <c r="B6" t="s">
        <v>45</v>
      </c>
      <c r="C6" t="s">
        <v>15</v>
      </c>
      <c r="D6" t="s">
        <v>46</v>
      </c>
      <c r="E6" t="s">
        <v>17</v>
      </c>
      <c r="F6" t="s">
        <v>18</v>
      </c>
      <c r="G6" t="s">
        <v>19</v>
      </c>
      <c r="H6">
        <v>102044</v>
      </c>
      <c r="I6">
        <v>-83120.789999999994</v>
      </c>
      <c r="J6" t="s">
        <v>47</v>
      </c>
      <c r="K6" t="s">
        <v>48</v>
      </c>
      <c r="L6">
        <v>2023</v>
      </c>
      <c r="M6" t="s">
        <v>49</v>
      </c>
    </row>
    <row r="7" spans="1:13" x14ac:dyDescent="0.35">
      <c r="A7" t="s">
        <v>50</v>
      </c>
      <c r="B7" t="s">
        <v>51</v>
      </c>
      <c r="C7" t="s">
        <v>15</v>
      </c>
      <c r="D7" t="s">
        <v>16</v>
      </c>
      <c r="E7" t="s">
        <v>17</v>
      </c>
      <c r="F7" t="s">
        <v>52</v>
      </c>
      <c r="G7" t="s">
        <v>36</v>
      </c>
      <c r="H7">
        <v>99167</v>
      </c>
      <c r="I7">
        <v>-86156.23</v>
      </c>
      <c r="J7" t="s">
        <v>47</v>
      </c>
      <c r="K7" t="s">
        <v>53</v>
      </c>
      <c r="L7">
        <v>2025</v>
      </c>
      <c r="M7" t="s">
        <v>54</v>
      </c>
    </row>
    <row r="8" spans="1:13" x14ac:dyDescent="0.35">
      <c r="A8" t="s">
        <v>55</v>
      </c>
      <c r="B8" t="s">
        <v>56</v>
      </c>
      <c r="C8" t="s">
        <v>15</v>
      </c>
      <c r="D8" t="s">
        <v>57</v>
      </c>
      <c r="E8" t="s">
        <v>34</v>
      </c>
      <c r="F8" t="s">
        <v>58</v>
      </c>
      <c r="G8" t="s">
        <v>19</v>
      </c>
      <c r="H8">
        <v>76092</v>
      </c>
      <c r="I8">
        <v>18138.189999999999</v>
      </c>
      <c r="J8" t="s">
        <v>59</v>
      </c>
      <c r="K8" t="s">
        <v>48</v>
      </c>
      <c r="L8">
        <v>2023</v>
      </c>
      <c r="M8" t="s">
        <v>60</v>
      </c>
    </row>
    <row r="9" spans="1:13" x14ac:dyDescent="0.35">
      <c r="A9" t="s">
        <v>61</v>
      </c>
      <c r="B9" t="s">
        <v>62</v>
      </c>
      <c r="C9" t="s">
        <v>15</v>
      </c>
      <c r="D9" t="s">
        <v>57</v>
      </c>
      <c r="E9" t="s">
        <v>34</v>
      </c>
      <c r="F9" t="s">
        <v>35</v>
      </c>
      <c r="G9" t="s">
        <v>19</v>
      </c>
      <c r="H9">
        <v>56951</v>
      </c>
      <c r="I9">
        <v>4578.45</v>
      </c>
      <c r="J9" t="s">
        <v>20</v>
      </c>
      <c r="K9" t="s">
        <v>48</v>
      </c>
      <c r="L9">
        <v>2022</v>
      </c>
      <c r="M9" t="s">
        <v>63</v>
      </c>
    </row>
    <row r="10" spans="1:13" x14ac:dyDescent="0.35">
      <c r="A10" t="s">
        <v>64</v>
      </c>
      <c r="B10" t="s">
        <v>65</v>
      </c>
      <c r="C10" t="s">
        <v>40</v>
      </c>
      <c r="D10" t="s">
        <v>66</v>
      </c>
      <c r="E10" t="s">
        <v>34</v>
      </c>
      <c r="F10" t="s">
        <v>67</v>
      </c>
      <c r="G10" t="s">
        <v>68</v>
      </c>
      <c r="H10">
        <v>53362</v>
      </c>
      <c r="I10">
        <v>10665.41</v>
      </c>
      <c r="J10" t="s">
        <v>47</v>
      </c>
      <c r="K10" t="s">
        <v>21</v>
      </c>
      <c r="L10">
        <v>2025</v>
      </c>
      <c r="M10" t="s">
        <v>69</v>
      </c>
    </row>
    <row r="11" spans="1:13" x14ac:dyDescent="0.35">
      <c r="A11" t="s">
        <v>70</v>
      </c>
      <c r="B11" t="s">
        <v>71</v>
      </c>
      <c r="C11" t="s">
        <v>40</v>
      </c>
      <c r="D11" t="s">
        <v>66</v>
      </c>
      <c r="E11" t="s">
        <v>17</v>
      </c>
      <c r="F11" t="s">
        <v>72</v>
      </c>
      <c r="G11" t="s">
        <v>19</v>
      </c>
      <c r="H11">
        <v>12665</v>
      </c>
      <c r="I11">
        <v>-10942.11</v>
      </c>
      <c r="J11" t="s">
        <v>29</v>
      </c>
      <c r="K11" t="s">
        <v>30</v>
      </c>
      <c r="L11">
        <v>2025</v>
      </c>
      <c r="M11" t="s">
        <v>73</v>
      </c>
    </row>
    <row r="12" spans="1:13" x14ac:dyDescent="0.35">
      <c r="A12" t="s">
        <v>74</v>
      </c>
      <c r="B12" t="s">
        <v>75</v>
      </c>
      <c r="C12" t="s">
        <v>76</v>
      </c>
      <c r="D12" t="s">
        <v>77</v>
      </c>
      <c r="E12" t="s">
        <v>34</v>
      </c>
      <c r="F12" t="s">
        <v>67</v>
      </c>
      <c r="G12" t="s">
        <v>78</v>
      </c>
      <c r="H12">
        <v>97745</v>
      </c>
      <c r="I12">
        <v>5477.52</v>
      </c>
      <c r="J12" t="s">
        <v>79</v>
      </c>
      <c r="K12" t="s">
        <v>21</v>
      </c>
      <c r="L12">
        <v>2025</v>
      </c>
      <c r="M12" t="s">
        <v>80</v>
      </c>
    </row>
    <row r="13" spans="1:13" x14ac:dyDescent="0.35">
      <c r="A13" t="s">
        <v>81</v>
      </c>
      <c r="B13" t="s">
        <v>82</v>
      </c>
      <c r="C13" t="s">
        <v>25</v>
      </c>
      <c r="D13" t="s">
        <v>83</v>
      </c>
      <c r="E13" t="s">
        <v>17</v>
      </c>
      <c r="F13" t="s">
        <v>42</v>
      </c>
      <c r="G13" t="s">
        <v>36</v>
      </c>
      <c r="H13">
        <v>112562</v>
      </c>
      <c r="I13">
        <v>-108283.11</v>
      </c>
      <c r="J13" t="s">
        <v>20</v>
      </c>
      <c r="K13" t="s">
        <v>48</v>
      </c>
      <c r="L13">
        <v>2023</v>
      </c>
      <c r="M13" t="s">
        <v>84</v>
      </c>
    </row>
    <row r="14" spans="1:13" x14ac:dyDescent="0.35">
      <c r="A14" t="s">
        <v>85</v>
      </c>
      <c r="B14" t="s">
        <v>86</v>
      </c>
      <c r="C14" t="s">
        <v>25</v>
      </c>
      <c r="D14" t="s">
        <v>26</v>
      </c>
      <c r="E14" t="s">
        <v>17</v>
      </c>
      <c r="F14" t="s">
        <v>52</v>
      </c>
      <c r="G14" t="s">
        <v>36</v>
      </c>
      <c r="H14">
        <v>20541</v>
      </c>
      <c r="I14">
        <v>-19901.240000000002</v>
      </c>
      <c r="J14" t="s">
        <v>47</v>
      </c>
      <c r="K14" t="s">
        <v>30</v>
      </c>
      <c r="L14">
        <v>2025</v>
      </c>
      <c r="M14" t="s">
        <v>87</v>
      </c>
    </row>
    <row r="15" spans="1:13" x14ac:dyDescent="0.35">
      <c r="A15" t="s">
        <v>88</v>
      </c>
      <c r="B15" t="s">
        <v>89</v>
      </c>
      <c r="C15" t="s">
        <v>15</v>
      </c>
      <c r="D15" t="s">
        <v>16</v>
      </c>
      <c r="E15" t="s">
        <v>17</v>
      </c>
      <c r="F15" t="s">
        <v>18</v>
      </c>
      <c r="G15" t="s">
        <v>68</v>
      </c>
      <c r="H15">
        <v>83400</v>
      </c>
      <c r="I15">
        <v>-71713.23</v>
      </c>
      <c r="J15" t="s">
        <v>79</v>
      </c>
      <c r="K15" t="s">
        <v>30</v>
      </c>
      <c r="L15">
        <v>2023</v>
      </c>
      <c r="M15" t="s">
        <v>90</v>
      </c>
    </row>
    <row r="16" spans="1:13" x14ac:dyDescent="0.35">
      <c r="A16" t="s">
        <v>91</v>
      </c>
      <c r="B16" t="s">
        <v>92</v>
      </c>
      <c r="C16" t="s">
        <v>15</v>
      </c>
      <c r="D16" t="s">
        <v>57</v>
      </c>
      <c r="E16" t="s">
        <v>34</v>
      </c>
      <c r="F16" t="s">
        <v>67</v>
      </c>
      <c r="G16" t="s">
        <v>78</v>
      </c>
      <c r="H16">
        <v>153342</v>
      </c>
      <c r="I16">
        <v>15726.67</v>
      </c>
      <c r="J16" t="s">
        <v>79</v>
      </c>
      <c r="K16" t="s">
        <v>48</v>
      </c>
      <c r="L16">
        <v>2022</v>
      </c>
      <c r="M16" t="s">
        <v>93</v>
      </c>
    </row>
    <row r="17" spans="1:13" x14ac:dyDescent="0.35">
      <c r="A17" t="s">
        <v>94</v>
      </c>
      <c r="B17" t="s">
        <v>95</v>
      </c>
      <c r="C17" t="s">
        <v>40</v>
      </c>
      <c r="D17" t="s">
        <v>96</v>
      </c>
      <c r="E17" t="s">
        <v>17</v>
      </c>
      <c r="F17" t="s">
        <v>42</v>
      </c>
      <c r="G17" t="s">
        <v>36</v>
      </c>
      <c r="H17">
        <v>174485</v>
      </c>
      <c r="I17">
        <v>-126038.92</v>
      </c>
      <c r="J17" t="s">
        <v>97</v>
      </c>
      <c r="K17" t="s">
        <v>21</v>
      </c>
      <c r="L17">
        <v>2021</v>
      </c>
      <c r="M17" t="s">
        <v>98</v>
      </c>
    </row>
    <row r="18" spans="1:13" x14ac:dyDescent="0.35">
      <c r="A18" t="s">
        <v>99</v>
      </c>
      <c r="B18" t="s">
        <v>100</v>
      </c>
      <c r="C18" t="s">
        <v>40</v>
      </c>
      <c r="D18" t="s">
        <v>96</v>
      </c>
      <c r="E18" t="s">
        <v>34</v>
      </c>
      <c r="F18" t="s">
        <v>101</v>
      </c>
      <c r="G18" t="s">
        <v>68</v>
      </c>
      <c r="H18">
        <v>145272</v>
      </c>
      <c r="I18">
        <v>16589.7</v>
      </c>
      <c r="J18" t="s">
        <v>79</v>
      </c>
      <c r="K18" t="s">
        <v>53</v>
      </c>
      <c r="L18">
        <v>2024</v>
      </c>
      <c r="M18" t="s">
        <v>102</v>
      </c>
    </row>
    <row r="19" spans="1:13" x14ac:dyDescent="0.35">
      <c r="A19" t="s">
        <v>103</v>
      </c>
      <c r="B19" t="s">
        <v>104</v>
      </c>
      <c r="C19" t="s">
        <v>76</v>
      </c>
      <c r="D19" t="s">
        <v>105</v>
      </c>
      <c r="E19" t="s">
        <v>17</v>
      </c>
      <c r="F19" t="s">
        <v>72</v>
      </c>
      <c r="G19" t="s">
        <v>78</v>
      </c>
      <c r="H19">
        <v>111524</v>
      </c>
      <c r="I19">
        <v>-91103.6</v>
      </c>
      <c r="J19" t="s">
        <v>79</v>
      </c>
      <c r="K19" t="s">
        <v>53</v>
      </c>
      <c r="L19">
        <v>2022</v>
      </c>
      <c r="M19" t="s">
        <v>106</v>
      </c>
    </row>
    <row r="20" spans="1:13" x14ac:dyDescent="0.35">
      <c r="A20" t="s">
        <v>107</v>
      </c>
      <c r="B20" t="s">
        <v>108</v>
      </c>
      <c r="C20" t="s">
        <v>40</v>
      </c>
      <c r="D20" t="s">
        <v>41</v>
      </c>
      <c r="E20" t="s">
        <v>34</v>
      </c>
      <c r="F20" t="s">
        <v>58</v>
      </c>
      <c r="G20" t="s">
        <v>19</v>
      </c>
      <c r="H20">
        <v>45172</v>
      </c>
      <c r="I20">
        <v>8559.2099999999991</v>
      </c>
      <c r="J20" t="s">
        <v>20</v>
      </c>
      <c r="K20" t="s">
        <v>30</v>
      </c>
      <c r="L20">
        <v>2022</v>
      </c>
      <c r="M20" t="s">
        <v>109</v>
      </c>
    </row>
    <row r="21" spans="1:13" x14ac:dyDescent="0.35">
      <c r="A21" t="s">
        <v>110</v>
      </c>
      <c r="B21" t="s">
        <v>111</v>
      </c>
      <c r="C21" t="s">
        <v>25</v>
      </c>
      <c r="D21" t="s">
        <v>26</v>
      </c>
      <c r="E21" t="s">
        <v>17</v>
      </c>
      <c r="F21" t="s">
        <v>112</v>
      </c>
      <c r="G21" t="s">
        <v>36</v>
      </c>
      <c r="H21">
        <v>38751</v>
      </c>
      <c r="I21">
        <v>-30718.02</v>
      </c>
      <c r="J21" t="s">
        <v>113</v>
      </c>
      <c r="K21" t="s">
        <v>48</v>
      </c>
      <c r="L21">
        <v>2022</v>
      </c>
      <c r="M21" t="s">
        <v>114</v>
      </c>
    </row>
    <row r="22" spans="1:13" x14ac:dyDescent="0.35">
      <c r="A22" t="s">
        <v>115</v>
      </c>
      <c r="B22" t="s">
        <v>116</v>
      </c>
      <c r="C22" t="s">
        <v>25</v>
      </c>
      <c r="D22" t="s">
        <v>83</v>
      </c>
      <c r="E22" t="s">
        <v>27</v>
      </c>
      <c r="F22" t="s">
        <v>28</v>
      </c>
      <c r="G22" t="s">
        <v>78</v>
      </c>
      <c r="H22">
        <v>143693</v>
      </c>
      <c r="I22">
        <v>12520.86</v>
      </c>
      <c r="J22" t="s">
        <v>59</v>
      </c>
      <c r="K22" t="s">
        <v>30</v>
      </c>
      <c r="L22">
        <v>2025</v>
      </c>
      <c r="M22" t="s">
        <v>117</v>
      </c>
    </row>
    <row r="23" spans="1:13" x14ac:dyDescent="0.35">
      <c r="A23" t="s">
        <v>118</v>
      </c>
      <c r="B23" t="s">
        <v>119</v>
      </c>
      <c r="C23" t="s">
        <v>25</v>
      </c>
      <c r="D23" t="s">
        <v>83</v>
      </c>
      <c r="E23" t="s">
        <v>34</v>
      </c>
      <c r="F23" t="s">
        <v>101</v>
      </c>
      <c r="G23" t="s">
        <v>78</v>
      </c>
      <c r="H23">
        <v>253138</v>
      </c>
      <c r="I23">
        <v>49831.87</v>
      </c>
      <c r="J23" t="s">
        <v>20</v>
      </c>
      <c r="K23" t="s">
        <v>30</v>
      </c>
      <c r="L23">
        <v>2021</v>
      </c>
      <c r="M23" t="s">
        <v>120</v>
      </c>
    </row>
    <row r="24" spans="1:13" x14ac:dyDescent="0.35">
      <c r="A24" t="s">
        <v>121</v>
      </c>
      <c r="B24" t="s">
        <v>122</v>
      </c>
      <c r="C24" t="s">
        <v>15</v>
      </c>
      <c r="D24" t="s">
        <v>57</v>
      </c>
      <c r="E24" t="s">
        <v>17</v>
      </c>
      <c r="F24" t="s">
        <v>18</v>
      </c>
      <c r="G24" t="s">
        <v>19</v>
      </c>
      <c r="H24">
        <v>157321</v>
      </c>
      <c r="I24">
        <v>-114805.12</v>
      </c>
      <c r="J24" t="s">
        <v>79</v>
      </c>
      <c r="K24" t="s">
        <v>48</v>
      </c>
      <c r="L24">
        <v>2025</v>
      </c>
      <c r="M24" t="s">
        <v>123</v>
      </c>
    </row>
    <row r="25" spans="1:13" x14ac:dyDescent="0.35">
      <c r="A25" t="s">
        <v>124</v>
      </c>
      <c r="B25" t="s">
        <v>125</v>
      </c>
      <c r="C25" t="s">
        <v>40</v>
      </c>
      <c r="D25" t="s">
        <v>96</v>
      </c>
      <c r="E25" t="s">
        <v>34</v>
      </c>
      <c r="F25" t="s">
        <v>101</v>
      </c>
      <c r="G25" t="s">
        <v>78</v>
      </c>
      <c r="H25">
        <v>56574</v>
      </c>
      <c r="I25">
        <v>6928.95</v>
      </c>
      <c r="J25" t="s">
        <v>97</v>
      </c>
      <c r="K25" t="s">
        <v>48</v>
      </c>
      <c r="L25">
        <v>2023</v>
      </c>
      <c r="M25" t="s">
        <v>126</v>
      </c>
    </row>
    <row r="26" spans="1:13" x14ac:dyDescent="0.35">
      <c r="A26" t="s">
        <v>127</v>
      </c>
      <c r="B26" t="s">
        <v>128</v>
      </c>
      <c r="C26" t="s">
        <v>40</v>
      </c>
      <c r="D26" t="s">
        <v>66</v>
      </c>
      <c r="E26" t="s">
        <v>34</v>
      </c>
      <c r="F26" t="s">
        <v>67</v>
      </c>
      <c r="G26" t="s">
        <v>36</v>
      </c>
      <c r="H26">
        <v>174963</v>
      </c>
      <c r="I26">
        <v>8861.57</v>
      </c>
      <c r="J26" t="s">
        <v>47</v>
      </c>
      <c r="K26" t="s">
        <v>48</v>
      </c>
      <c r="L26">
        <v>2025</v>
      </c>
      <c r="M26" t="s">
        <v>129</v>
      </c>
    </row>
    <row r="27" spans="1:13" x14ac:dyDescent="0.35">
      <c r="A27" t="s">
        <v>130</v>
      </c>
      <c r="B27" t="s">
        <v>131</v>
      </c>
      <c r="C27" t="s">
        <v>15</v>
      </c>
      <c r="D27" t="s">
        <v>16</v>
      </c>
      <c r="E27" t="s">
        <v>17</v>
      </c>
      <c r="F27" t="s">
        <v>42</v>
      </c>
      <c r="G27" t="s">
        <v>68</v>
      </c>
      <c r="H27">
        <v>99056</v>
      </c>
      <c r="I27">
        <v>-98681.4</v>
      </c>
      <c r="J27" t="s">
        <v>29</v>
      </c>
      <c r="K27" t="s">
        <v>48</v>
      </c>
      <c r="L27">
        <v>2021</v>
      </c>
      <c r="M27" t="s">
        <v>132</v>
      </c>
    </row>
    <row r="28" spans="1:13" x14ac:dyDescent="0.35">
      <c r="A28" t="s">
        <v>133</v>
      </c>
      <c r="B28" t="s">
        <v>134</v>
      </c>
      <c r="C28" t="s">
        <v>15</v>
      </c>
      <c r="D28" t="s">
        <v>46</v>
      </c>
      <c r="E28" t="s">
        <v>17</v>
      </c>
      <c r="F28" t="s">
        <v>18</v>
      </c>
      <c r="G28" t="s">
        <v>19</v>
      </c>
      <c r="H28">
        <v>103974</v>
      </c>
      <c r="I28">
        <v>-79834.5</v>
      </c>
      <c r="J28" t="s">
        <v>97</v>
      </c>
      <c r="K28" t="s">
        <v>48</v>
      </c>
      <c r="L28">
        <v>2025</v>
      </c>
      <c r="M28" t="s">
        <v>135</v>
      </c>
    </row>
    <row r="29" spans="1:13" x14ac:dyDescent="0.35">
      <c r="A29" t="s">
        <v>136</v>
      </c>
      <c r="B29" t="s">
        <v>137</v>
      </c>
      <c r="C29" t="s">
        <v>25</v>
      </c>
      <c r="D29" t="s">
        <v>26</v>
      </c>
      <c r="E29" t="s">
        <v>138</v>
      </c>
      <c r="F29" t="s">
        <v>139</v>
      </c>
      <c r="G29" t="s">
        <v>19</v>
      </c>
      <c r="H29">
        <v>492446</v>
      </c>
      <c r="I29">
        <v>14008.98</v>
      </c>
      <c r="J29" t="s">
        <v>47</v>
      </c>
      <c r="K29" t="s">
        <v>30</v>
      </c>
      <c r="L29">
        <v>2023</v>
      </c>
      <c r="M29" t="s">
        <v>140</v>
      </c>
    </row>
    <row r="30" spans="1:13" x14ac:dyDescent="0.35">
      <c r="A30" t="s">
        <v>141</v>
      </c>
      <c r="B30" t="s">
        <v>142</v>
      </c>
      <c r="C30" t="s">
        <v>25</v>
      </c>
      <c r="D30" t="s">
        <v>83</v>
      </c>
      <c r="E30" t="s">
        <v>34</v>
      </c>
      <c r="F30" t="s">
        <v>35</v>
      </c>
      <c r="G30" t="s">
        <v>19</v>
      </c>
      <c r="H30">
        <v>209843</v>
      </c>
      <c r="I30">
        <v>32471.29</v>
      </c>
      <c r="J30" t="s">
        <v>113</v>
      </c>
      <c r="K30" t="s">
        <v>21</v>
      </c>
      <c r="L30">
        <v>2024</v>
      </c>
      <c r="M30" t="s">
        <v>143</v>
      </c>
    </row>
    <row r="31" spans="1:13" x14ac:dyDescent="0.35">
      <c r="A31" t="s">
        <v>144</v>
      </c>
      <c r="B31" t="s">
        <v>145</v>
      </c>
      <c r="C31" t="s">
        <v>25</v>
      </c>
      <c r="D31" t="s">
        <v>83</v>
      </c>
      <c r="E31" t="s">
        <v>34</v>
      </c>
      <c r="F31" t="s">
        <v>67</v>
      </c>
      <c r="G31" t="s">
        <v>68</v>
      </c>
      <c r="H31">
        <v>157357</v>
      </c>
      <c r="I31">
        <v>31293.4</v>
      </c>
      <c r="J31" t="s">
        <v>113</v>
      </c>
      <c r="K31" t="s">
        <v>48</v>
      </c>
      <c r="L31">
        <v>2023</v>
      </c>
      <c r="M31" t="s">
        <v>146</v>
      </c>
    </row>
    <row r="32" spans="1:13" x14ac:dyDescent="0.35">
      <c r="A32" t="s">
        <v>147</v>
      </c>
      <c r="B32" t="s">
        <v>148</v>
      </c>
      <c r="C32" t="s">
        <v>25</v>
      </c>
      <c r="D32" t="s">
        <v>149</v>
      </c>
      <c r="E32" t="s">
        <v>34</v>
      </c>
      <c r="F32" t="s">
        <v>101</v>
      </c>
      <c r="G32" t="s">
        <v>36</v>
      </c>
      <c r="H32">
        <v>286388</v>
      </c>
      <c r="I32">
        <v>47496.43</v>
      </c>
      <c r="J32" t="s">
        <v>29</v>
      </c>
      <c r="K32" t="s">
        <v>21</v>
      </c>
      <c r="L32">
        <v>2024</v>
      </c>
      <c r="M32" t="s">
        <v>150</v>
      </c>
    </row>
    <row r="33" spans="1:13" x14ac:dyDescent="0.35">
      <c r="A33" t="s">
        <v>151</v>
      </c>
      <c r="B33" t="s">
        <v>152</v>
      </c>
      <c r="C33" t="s">
        <v>76</v>
      </c>
      <c r="D33" t="s">
        <v>105</v>
      </c>
      <c r="E33" t="s">
        <v>17</v>
      </c>
      <c r="F33" t="s">
        <v>42</v>
      </c>
      <c r="G33" t="s">
        <v>36</v>
      </c>
      <c r="H33">
        <v>13396</v>
      </c>
      <c r="I33">
        <v>-10901.67</v>
      </c>
      <c r="J33" t="s">
        <v>113</v>
      </c>
      <c r="K33" t="s">
        <v>21</v>
      </c>
      <c r="L33">
        <v>2023</v>
      </c>
      <c r="M33" t="s">
        <v>153</v>
      </c>
    </row>
    <row r="34" spans="1:13" x14ac:dyDescent="0.35">
      <c r="A34" t="s">
        <v>154</v>
      </c>
      <c r="B34" t="s">
        <v>155</v>
      </c>
      <c r="C34" t="s">
        <v>25</v>
      </c>
      <c r="D34" t="s">
        <v>26</v>
      </c>
      <c r="E34" t="s">
        <v>17</v>
      </c>
      <c r="F34" t="s">
        <v>112</v>
      </c>
      <c r="G34" t="s">
        <v>19</v>
      </c>
      <c r="H34">
        <v>167184</v>
      </c>
      <c r="I34">
        <v>-148063.20000000001</v>
      </c>
      <c r="J34" t="s">
        <v>97</v>
      </c>
      <c r="K34" t="s">
        <v>30</v>
      </c>
      <c r="L34">
        <v>2021</v>
      </c>
      <c r="M34" t="s">
        <v>156</v>
      </c>
    </row>
    <row r="35" spans="1:13" x14ac:dyDescent="0.35">
      <c r="A35" t="s">
        <v>157</v>
      </c>
      <c r="B35" t="s">
        <v>158</v>
      </c>
      <c r="C35" t="s">
        <v>40</v>
      </c>
      <c r="D35" t="s">
        <v>41</v>
      </c>
      <c r="E35" t="s">
        <v>34</v>
      </c>
      <c r="F35" t="s">
        <v>35</v>
      </c>
      <c r="G35" t="s">
        <v>68</v>
      </c>
      <c r="H35">
        <v>189730</v>
      </c>
      <c r="I35">
        <v>28257.31</v>
      </c>
      <c r="J35" t="s">
        <v>20</v>
      </c>
      <c r="K35" t="s">
        <v>21</v>
      </c>
      <c r="L35">
        <v>2023</v>
      </c>
      <c r="M35" t="s">
        <v>159</v>
      </c>
    </row>
    <row r="36" spans="1:13" x14ac:dyDescent="0.35">
      <c r="A36" t="s">
        <v>160</v>
      </c>
      <c r="B36" t="s">
        <v>161</v>
      </c>
      <c r="C36" t="s">
        <v>76</v>
      </c>
      <c r="D36" t="s">
        <v>105</v>
      </c>
      <c r="E36" t="s">
        <v>34</v>
      </c>
      <c r="F36" t="s">
        <v>58</v>
      </c>
      <c r="G36" t="s">
        <v>78</v>
      </c>
      <c r="H36">
        <v>152222</v>
      </c>
      <c r="I36">
        <v>23432.74</v>
      </c>
      <c r="J36" t="s">
        <v>59</v>
      </c>
      <c r="K36" t="s">
        <v>21</v>
      </c>
      <c r="L36">
        <v>2025</v>
      </c>
      <c r="M36" t="s">
        <v>162</v>
      </c>
    </row>
    <row r="37" spans="1:13" x14ac:dyDescent="0.35">
      <c r="A37" t="s">
        <v>163</v>
      </c>
      <c r="B37" t="s">
        <v>164</v>
      </c>
      <c r="C37" t="s">
        <v>76</v>
      </c>
      <c r="D37" t="s">
        <v>105</v>
      </c>
      <c r="E37" t="s">
        <v>17</v>
      </c>
      <c r="F37" t="s">
        <v>112</v>
      </c>
      <c r="G37" t="s">
        <v>36</v>
      </c>
      <c r="H37">
        <v>41631</v>
      </c>
      <c r="I37">
        <v>-34900.300000000003</v>
      </c>
      <c r="J37" t="s">
        <v>113</v>
      </c>
      <c r="K37" t="s">
        <v>53</v>
      </c>
      <c r="L37">
        <v>2022</v>
      </c>
      <c r="M37" t="s">
        <v>165</v>
      </c>
    </row>
    <row r="38" spans="1:13" x14ac:dyDescent="0.35">
      <c r="A38" t="s">
        <v>166</v>
      </c>
      <c r="B38" t="s">
        <v>167</v>
      </c>
      <c r="C38" t="s">
        <v>40</v>
      </c>
      <c r="D38" t="s">
        <v>66</v>
      </c>
      <c r="E38" t="s">
        <v>17</v>
      </c>
      <c r="F38" t="s">
        <v>112</v>
      </c>
      <c r="G38" t="s">
        <v>36</v>
      </c>
      <c r="H38">
        <v>137976</v>
      </c>
      <c r="I38">
        <v>-96803</v>
      </c>
      <c r="J38" t="s">
        <v>113</v>
      </c>
      <c r="K38" t="s">
        <v>30</v>
      </c>
      <c r="L38">
        <v>2022</v>
      </c>
      <c r="M38" t="s">
        <v>168</v>
      </c>
    </row>
    <row r="39" spans="1:13" x14ac:dyDescent="0.35">
      <c r="A39" t="s">
        <v>169</v>
      </c>
      <c r="B39" t="s">
        <v>170</v>
      </c>
      <c r="C39" t="s">
        <v>76</v>
      </c>
      <c r="D39" t="s">
        <v>171</v>
      </c>
      <c r="E39" t="s">
        <v>34</v>
      </c>
      <c r="F39" t="s">
        <v>58</v>
      </c>
      <c r="G39" t="s">
        <v>19</v>
      </c>
      <c r="H39">
        <v>286311</v>
      </c>
      <c r="I39">
        <v>16912.09</v>
      </c>
      <c r="J39" t="s">
        <v>79</v>
      </c>
      <c r="K39" t="s">
        <v>21</v>
      </c>
      <c r="L39">
        <v>2023</v>
      </c>
      <c r="M39" t="s">
        <v>172</v>
      </c>
    </row>
    <row r="40" spans="1:13" x14ac:dyDescent="0.35">
      <c r="A40" t="s">
        <v>173</v>
      </c>
      <c r="B40" t="s">
        <v>174</v>
      </c>
      <c r="C40" t="s">
        <v>15</v>
      </c>
      <c r="D40" t="s">
        <v>16</v>
      </c>
      <c r="E40" t="s">
        <v>34</v>
      </c>
      <c r="F40" t="s">
        <v>67</v>
      </c>
      <c r="G40" t="s">
        <v>68</v>
      </c>
      <c r="H40">
        <v>159567</v>
      </c>
      <c r="I40">
        <v>28553.91</v>
      </c>
      <c r="J40" t="s">
        <v>113</v>
      </c>
      <c r="K40" t="s">
        <v>30</v>
      </c>
      <c r="L40">
        <v>2024</v>
      </c>
      <c r="M40" t="s">
        <v>175</v>
      </c>
    </row>
    <row r="41" spans="1:13" x14ac:dyDescent="0.35">
      <c r="A41" t="s">
        <v>176</v>
      </c>
      <c r="B41" t="s">
        <v>177</v>
      </c>
      <c r="C41" t="s">
        <v>25</v>
      </c>
      <c r="D41" t="s">
        <v>149</v>
      </c>
      <c r="E41" t="s">
        <v>17</v>
      </c>
      <c r="F41" t="s">
        <v>52</v>
      </c>
      <c r="G41" t="s">
        <v>36</v>
      </c>
      <c r="H41">
        <v>102676</v>
      </c>
      <c r="I41">
        <v>-92701.28</v>
      </c>
      <c r="J41" t="s">
        <v>113</v>
      </c>
      <c r="K41" t="s">
        <v>21</v>
      </c>
      <c r="L41">
        <v>2021</v>
      </c>
      <c r="M41" t="s">
        <v>178</v>
      </c>
    </row>
    <row r="42" spans="1:13" x14ac:dyDescent="0.35">
      <c r="A42" t="s">
        <v>179</v>
      </c>
      <c r="B42" t="s">
        <v>180</v>
      </c>
      <c r="C42" t="s">
        <v>40</v>
      </c>
      <c r="D42" t="s">
        <v>96</v>
      </c>
      <c r="E42" t="s">
        <v>17</v>
      </c>
      <c r="F42" t="s">
        <v>112</v>
      </c>
      <c r="G42" t="s">
        <v>36</v>
      </c>
      <c r="H42">
        <v>51832</v>
      </c>
      <c r="I42">
        <v>-42617.06</v>
      </c>
      <c r="J42" t="s">
        <v>29</v>
      </c>
      <c r="K42" t="s">
        <v>21</v>
      </c>
      <c r="L42">
        <v>2025</v>
      </c>
      <c r="M42" t="s">
        <v>181</v>
      </c>
    </row>
    <row r="43" spans="1:13" x14ac:dyDescent="0.35">
      <c r="A43" t="s">
        <v>182</v>
      </c>
      <c r="B43" t="s">
        <v>183</v>
      </c>
      <c r="C43" t="s">
        <v>25</v>
      </c>
      <c r="D43" t="s">
        <v>149</v>
      </c>
      <c r="E43" t="s">
        <v>34</v>
      </c>
      <c r="F43" t="s">
        <v>35</v>
      </c>
      <c r="G43" t="s">
        <v>36</v>
      </c>
      <c r="H43">
        <v>189162</v>
      </c>
      <c r="I43">
        <v>30780.89</v>
      </c>
      <c r="J43" t="s">
        <v>113</v>
      </c>
      <c r="K43" t="s">
        <v>53</v>
      </c>
      <c r="L43">
        <v>2022</v>
      </c>
      <c r="M43" t="s">
        <v>184</v>
      </c>
    </row>
    <row r="44" spans="1:13" x14ac:dyDescent="0.35">
      <c r="A44" t="s">
        <v>185</v>
      </c>
      <c r="B44" t="s">
        <v>186</v>
      </c>
      <c r="C44" t="s">
        <v>15</v>
      </c>
      <c r="D44" t="s">
        <v>16</v>
      </c>
      <c r="E44" t="s">
        <v>34</v>
      </c>
      <c r="F44" t="s">
        <v>67</v>
      </c>
      <c r="G44" t="s">
        <v>68</v>
      </c>
      <c r="H44">
        <v>221107</v>
      </c>
      <c r="I44">
        <v>48564.12</v>
      </c>
      <c r="J44" t="s">
        <v>29</v>
      </c>
      <c r="K44" t="s">
        <v>53</v>
      </c>
      <c r="L44">
        <v>2024</v>
      </c>
      <c r="M44" t="s">
        <v>187</v>
      </c>
    </row>
    <row r="45" spans="1:13" x14ac:dyDescent="0.35">
      <c r="A45" t="s">
        <v>188</v>
      </c>
      <c r="B45" t="s">
        <v>189</v>
      </c>
      <c r="C45" t="s">
        <v>25</v>
      </c>
      <c r="D45" t="s">
        <v>26</v>
      </c>
      <c r="E45" t="s">
        <v>17</v>
      </c>
      <c r="F45" t="s">
        <v>42</v>
      </c>
      <c r="G45" t="s">
        <v>19</v>
      </c>
      <c r="H45">
        <v>124657</v>
      </c>
      <c r="I45">
        <v>-88713.34</v>
      </c>
      <c r="J45" t="s">
        <v>29</v>
      </c>
      <c r="K45" t="s">
        <v>30</v>
      </c>
      <c r="L45">
        <v>2023</v>
      </c>
      <c r="M45" t="s">
        <v>190</v>
      </c>
    </row>
    <row r="46" spans="1:13" x14ac:dyDescent="0.35">
      <c r="A46" t="s">
        <v>191</v>
      </c>
      <c r="B46" t="s">
        <v>192</v>
      </c>
      <c r="C46" t="s">
        <v>40</v>
      </c>
      <c r="D46" t="s">
        <v>96</v>
      </c>
      <c r="E46" t="s">
        <v>17</v>
      </c>
      <c r="F46" t="s">
        <v>72</v>
      </c>
      <c r="G46" t="s">
        <v>19</v>
      </c>
      <c r="H46">
        <v>116776</v>
      </c>
      <c r="I46">
        <v>-104560.37</v>
      </c>
      <c r="J46" t="s">
        <v>20</v>
      </c>
      <c r="K46" t="s">
        <v>53</v>
      </c>
      <c r="L46">
        <v>2021</v>
      </c>
      <c r="M46" t="s">
        <v>193</v>
      </c>
    </row>
    <row r="47" spans="1:13" x14ac:dyDescent="0.35">
      <c r="A47" t="s">
        <v>194</v>
      </c>
      <c r="B47" t="s">
        <v>167</v>
      </c>
      <c r="C47" t="s">
        <v>76</v>
      </c>
      <c r="D47" t="s">
        <v>77</v>
      </c>
      <c r="E47" t="s">
        <v>34</v>
      </c>
      <c r="F47" t="s">
        <v>67</v>
      </c>
      <c r="G47" t="s">
        <v>19</v>
      </c>
      <c r="H47">
        <v>155733</v>
      </c>
      <c r="I47">
        <v>15654.49</v>
      </c>
      <c r="J47" t="s">
        <v>20</v>
      </c>
      <c r="K47" t="s">
        <v>30</v>
      </c>
      <c r="L47">
        <v>2022</v>
      </c>
      <c r="M47" t="s">
        <v>195</v>
      </c>
    </row>
    <row r="48" spans="1:13" x14ac:dyDescent="0.35">
      <c r="A48" t="s">
        <v>196</v>
      </c>
      <c r="B48" t="s">
        <v>197</v>
      </c>
      <c r="C48" t="s">
        <v>15</v>
      </c>
      <c r="D48" t="s">
        <v>46</v>
      </c>
      <c r="E48" t="s">
        <v>17</v>
      </c>
      <c r="F48" t="s">
        <v>112</v>
      </c>
      <c r="G48" t="s">
        <v>36</v>
      </c>
      <c r="H48">
        <v>171207</v>
      </c>
      <c r="I48">
        <v>-153480.1</v>
      </c>
      <c r="J48" t="s">
        <v>59</v>
      </c>
      <c r="K48" t="s">
        <v>53</v>
      </c>
      <c r="L48">
        <v>2024</v>
      </c>
      <c r="M48" t="s">
        <v>198</v>
      </c>
    </row>
    <row r="49" spans="1:13" x14ac:dyDescent="0.35">
      <c r="A49" t="s">
        <v>199</v>
      </c>
      <c r="B49" t="s">
        <v>200</v>
      </c>
      <c r="C49" t="s">
        <v>15</v>
      </c>
      <c r="D49" t="s">
        <v>57</v>
      </c>
      <c r="E49" t="s">
        <v>34</v>
      </c>
      <c r="F49" t="s">
        <v>101</v>
      </c>
      <c r="G49" t="s">
        <v>78</v>
      </c>
      <c r="H49">
        <v>229525</v>
      </c>
      <c r="I49">
        <v>43209.16</v>
      </c>
      <c r="J49" t="s">
        <v>59</v>
      </c>
      <c r="K49" t="s">
        <v>30</v>
      </c>
      <c r="L49">
        <v>2022</v>
      </c>
      <c r="M49" t="s">
        <v>201</v>
      </c>
    </row>
    <row r="50" spans="1:13" x14ac:dyDescent="0.35">
      <c r="A50" t="s">
        <v>202</v>
      </c>
      <c r="B50" t="s">
        <v>203</v>
      </c>
      <c r="C50" t="s">
        <v>40</v>
      </c>
      <c r="D50" t="s">
        <v>41</v>
      </c>
      <c r="E50" t="s">
        <v>27</v>
      </c>
      <c r="F50" t="s">
        <v>204</v>
      </c>
      <c r="G50" t="s">
        <v>19</v>
      </c>
      <c r="H50">
        <v>59141</v>
      </c>
      <c r="I50">
        <v>8662.11</v>
      </c>
      <c r="J50" t="s">
        <v>97</v>
      </c>
      <c r="K50" t="s">
        <v>30</v>
      </c>
      <c r="L50">
        <v>2024</v>
      </c>
      <c r="M50" t="s">
        <v>205</v>
      </c>
    </row>
    <row r="51" spans="1:13" x14ac:dyDescent="0.35">
      <c r="A51" t="s">
        <v>206</v>
      </c>
      <c r="B51" t="s">
        <v>207</v>
      </c>
      <c r="C51" t="s">
        <v>25</v>
      </c>
      <c r="D51" t="s">
        <v>26</v>
      </c>
      <c r="E51" t="s">
        <v>138</v>
      </c>
      <c r="F51" t="s">
        <v>208</v>
      </c>
      <c r="G51" t="s">
        <v>36</v>
      </c>
      <c r="H51">
        <v>146473</v>
      </c>
      <c r="I51">
        <v>-22724.06</v>
      </c>
      <c r="J51" t="s">
        <v>47</v>
      </c>
      <c r="K51" t="s">
        <v>21</v>
      </c>
      <c r="L51">
        <v>2023</v>
      </c>
      <c r="M51" t="s">
        <v>209</v>
      </c>
    </row>
    <row r="52" spans="1:13" x14ac:dyDescent="0.35">
      <c r="A52" t="s">
        <v>210</v>
      </c>
      <c r="B52" t="s">
        <v>211</v>
      </c>
      <c r="C52" t="s">
        <v>25</v>
      </c>
      <c r="D52" t="s">
        <v>149</v>
      </c>
      <c r="E52" t="s">
        <v>17</v>
      </c>
      <c r="F52" t="s">
        <v>18</v>
      </c>
      <c r="G52" t="s">
        <v>68</v>
      </c>
      <c r="H52">
        <v>14223</v>
      </c>
      <c r="I52">
        <v>-13675.74</v>
      </c>
      <c r="J52" t="s">
        <v>212</v>
      </c>
      <c r="K52" t="s">
        <v>48</v>
      </c>
      <c r="L52">
        <v>2021</v>
      </c>
      <c r="M52" t="s">
        <v>213</v>
      </c>
    </row>
    <row r="53" spans="1:13" x14ac:dyDescent="0.35">
      <c r="A53" t="s">
        <v>214</v>
      </c>
      <c r="B53" t="s">
        <v>215</v>
      </c>
      <c r="C53" t="s">
        <v>40</v>
      </c>
      <c r="D53" t="s">
        <v>41</v>
      </c>
      <c r="E53" t="s">
        <v>34</v>
      </c>
      <c r="F53" t="s">
        <v>67</v>
      </c>
      <c r="G53" t="s">
        <v>19</v>
      </c>
      <c r="H53">
        <v>23391</v>
      </c>
      <c r="I53">
        <v>4817.47</v>
      </c>
      <c r="J53" t="s">
        <v>29</v>
      </c>
      <c r="K53" t="s">
        <v>21</v>
      </c>
      <c r="L53">
        <v>2021</v>
      </c>
      <c r="M53" t="s">
        <v>216</v>
      </c>
    </row>
    <row r="54" spans="1:13" x14ac:dyDescent="0.35">
      <c r="A54" t="s">
        <v>217</v>
      </c>
      <c r="B54" t="s">
        <v>218</v>
      </c>
      <c r="C54" t="s">
        <v>25</v>
      </c>
      <c r="D54" t="s">
        <v>83</v>
      </c>
      <c r="E54" t="s">
        <v>27</v>
      </c>
      <c r="F54" t="s">
        <v>219</v>
      </c>
      <c r="G54" t="s">
        <v>78</v>
      </c>
      <c r="H54">
        <v>883070</v>
      </c>
      <c r="I54">
        <v>102975.02</v>
      </c>
      <c r="J54" t="s">
        <v>59</v>
      </c>
      <c r="K54" t="s">
        <v>53</v>
      </c>
      <c r="L54">
        <v>2024</v>
      </c>
      <c r="M54" t="s">
        <v>220</v>
      </c>
    </row>
    <row r="55" spans="1:13" x14ac:dyDescent="0.35">
      <c r="A55" t="s">
        <v>221</v>
      </c>
      <c r="B55" t="s">
        <v>222</v>
      </c>
      <c r="C55" t="s">
        <v>40</v>
      </c>
      <c r="D55" t="s">
        <v>96</v>
      </c>
      <c r="E55" t="s">
        <v>34</v>
      </c>
      <c r="F55" t="s">
        <v>58</v>
      </c>
      <c r="G55" t="s">
        <v>19</v>
      </c>
      <c r="H55">
        <v>29367</v>
      </c>
      <c r="I55">
        <v>6556.79</v>
      </c>
      <c r="J55" t="s">
        <v>29</v>
      </c>
      <c r="K55" t="s">
        <v>30</v>
      </c>
      <c r="L55">
        <v>2025</v>
      </c>
      <c r="M55" t="s">
        <v>223</v>
      </c>
    </row>
    <row r="56" spans="1:13" x14ac:dyDescent="0.35">
      <c r="A56" t="s">
        <v>224</v>
      </c>
      <c r="B56" t="s">
        <v>225</v>
      </c>
      <c r="C56" t="s">
        <v>25</v>
      </c>
      <c r="D56" t="s">
        <v>26</v>
      </c>
      <c r="E56" t="s">
        <v>27</v>
      </c>
      <c r="F56" t="s">
        <v>28</v>
      </c>
      <c r="G56" t="s">
        <v>36</v>
      </c>
      <c r="H56">
        <v>295392</v>
      </c>
      <c r="I56">
        <v>-1202.9000000000001</v>
      </c>
      <c r="J56" t="s">
        <v>97</v>
      </c>
      <c r="K56" t="s">
        <v>21</v>
      </c>
      <c r="L56">
        <v>2025</v>
      </c>
      <c r="M56" t="s">
        <v>226</v>
      </c>
    </row>
    <row r="57" spans="1:13" x14ac:dyDescent="0.35">
      <c r="A57" t="s">
        <v>227</v>
      </c>
      <c r="B57" t="s">
        <v>177</v>
      </c>
      <c r="C57" t="s">
        <v>76</v>
      </c>
      <c r="D57" t="s">
        <v>105</v>
      </c>
      <c r="E57" t="s">
        <v>17</v>
      </c>
      <c r="F57" t="s">
        <v>72</v>
      </c>
      <c r="G57" t="s">
        <v>19</v>
      </c>
      <c r="H57">
        <v>81285</v>
      </c>
      <c r="I57">
        <v>-59287.839999999997</v>
      </c>
      <c r="J57" t="s">
        <v>20</v>
      </c>
      <c r="K57" t="s">
        <v>21</v>
      </c>
      <c r="L57">
        <v>2021</v>
      </c>
      <c r="M57" t="s">
        <v>228</v>
      </c>
    </row>
    <row r="58" spans="1:13" x14ac:dyDescent="0.35">
      <c r="A58" t="s">
        <v>229</v>
      </c>
      <c r="B58" t="s">
        <v>230</v>
      </c>
      <c r="C58" t="s">
        <v>40</v>
      </c>
      <c r="D58" t="s">
        <v>96</v>
      </c>
      <c r="E58" t="s">
        <v>27</v>
      </c>
      <c r="F58" t="s">
        <v>204</v>
      </c>
      <c r="G58" t="s">
        <v>36</v>
      </c>
      <c r="H58">
        <v>410624</v>
      </c>
      <c r="I58">
        <v>3565.8</v>
      </c>
      <c r="J58" t="s">
        <v>97</v>
      </c>
      <c r="K58" t="s">
        <v>21</v>
      </c>
      <c r="L58">
        <v>2023</v>
      </c>
      <c r="M58" t="s">
        <v>231</v>
      </c>
    </row>
    <row r="59" spans="1:13" x14ac:dyDescent="0.35">
      <c r="A59" t="s">
        <v>232</v>
      </c>
      <c r="B59" t="s">
        <v>233</v>
      </c>
      <c r="C59" t="s">
        <v>15</v>
      </c>
      <c r="D59" t="s">
        <v>46</v>
      </c>
      <c r="E59" t="s">
        <v>34</v>
      </c>
      <c r="F59" t="s">
        <v>101</v>
      </c>
      <c r="G59" t="s">
        <v>36</v>
      </c>
      <c r="H59">
        <v>224575</v>
      </c>
      <c r="I59">
        <v>48175.1</v>
      </c>
      <c r="J59" t="s">
        <v>79</v>
      </c>
      <c r="K59" t="s">
        <v>53</v>
      </c>
      <c r="L59">
        <v>2022</v>
      </c>
      <c r="M59" t="s">
        <v>234</v>
      </c>
    </row>
    <row r="60" spans="1:13" x14ac:dyDescent="0.35">
      <c r="A60" t="s">
        <v>235</v>
      </c>
      <c r="B60" t="s">
        <v>236</v>
      </c>
      <c r="C60" t="s">
        <v>25</v>
      </c>
      <c r="D60" t="s">
        <v>83</v>
      </c>
      <c r="E60" t="s">
        <v>34</v>
      </c>
      <c r="F60" t="s">
        <v>67</v>
      </c>
      <c r="G60" t="s">
        <v>78</v>
      </c>
      <c r="H60">
        <v>232513</v>
      </c>
      <c r="I60">
        <v>46021.48</v>
      </c>
      <c r="J60" t="s">
        <v>47</v>
      </c>
      <c r="K60" t="s">
        <v>30</v>
      </c>
      <c r="L60">
        <v>2023</v>
      </c>
      <c r="M60" t="s">
        <v>237</v>
      </c>
    </row>
    <row r="61" spans="1:13" x14ac:dyDescent="0.35">
      <c r="A61" t="s">
        <v>238</v>
      </c>
      <c r="B61" t="s">
        <v>239</v>
      </c>
      <c r="C61" t="s">
        <v>15</v>
      </c>
      <c r="D61" t="s">
        <v>57</v>
      </c>
      <c r="E61" t="s">
        <v>17</v>
      </c>
      <c r="F61" t="s">
        <v>18</v>
      </c>
      <c r="G61" t="s">
        <v>36</v>
      </c>
      <c r="H61">
        <v>111517</v>
      </c>
      <c r="I61">
        <v>-85450.85</v>
      </c>
      <c r="J61" t="s">
        <v>59</v>
      </c>
      <c r="K61" t="s">
        <v>48</v>
      </c>
      <c r="L61">
        <v>2022</v>
      </c>
      <c r="M61" t="s">
        <v>240</v>
      </c>
    </row>
    <row r="62" spans="1:13" x14ac:dyDescent="0.35">
      <c r="A62" t="s">
        <v>241</v>
      </c>
      <c r="B62" t="s">
        <v>242</v>
      </c>
      <c r="C62" t="s">
        <v>40</v>
      </c>
      <c r="D62" t="s">
        <v>66</v>
      </c>
      <c r="E62" t="s">
        <v>17</v>
      </c>
      <c r="F62" t="s">
        <v>18</v>
      </c>
      <c r="G62" t="s">
        <v>68</v>
      </c>
      <c r="H62">
        <v>170171</v>
      </c>
      <c r="I62">
        <v>-156202.13</v>
      </c>
      <c r="J62" t="s">
        <v>20</v>
      </c>
      <c r="K62" t="s">
        <v>21</v>
      </c>
      <c r="L62">
        <v>2025</v>
      </c>
      <c r="M62" t="s">
        <v>243</v>
      </c>
    </row>
    <row r="63" spans="1:13" x14ac:dyDescent="0.35">
      <c r="A63" t="s">
        <v>244</v>
      </c>
      <c r="B63" t="s">
        <v>245</v>
      </c>
      <c r="C63" t="s">
        <v>15</v>
      </c>
      <c r="D63" t="s">
        <v>16</v>
      </c>
      <c r="E63" t="s">
        <v>17</v>
      </c>
      <c r="F63" t="s">
        <v>72</v>
      </c>
      <c r="G63" t="s">
        <v>78</v>
      </c>
      <c r="H63">
        <v>162494</v>
      </c>
      <c r="I63">
        <v>-155461.81</v>
      </c>
      <c r="J63" t="s">
        <v>47</v>
      </c>
      <c r="K63" t="s">
        <v>30</v>
      </c>
      <c r="L63">
        <v>2024</v>
      </c>
      <c r="M63" t="s">
        <v>246</v>
      </c>
    </row>
    <row r="64" spans="1:13" x14ac:dyDescent="0.35">
      <c r="A64" t="s">
        <v>247</v>
      </c>
      <c r="B64" t="s">
        <v>248</v>
      </c>
      <c r="C64" t="s">
        <v>25</v>
      </c>
      <c r="D64" t="s">
        <v>26</v>
      </c>
      <c r="E64" t="s">
        <v>17</v>
      </c>
      <c r="F64" t="s">
        <v>112</v>
      </c>
      <c r="G64" t="s">
        <v>36</v>
      </c>
      <c r="H64">
        <v>59940</v>
      </c>
      <c r="I64">
        <v>-55194.14</v>
      </c>
      <c r="J64" t="s">
        <v>29</v>
      </c>
      <c r="K64" t="s">
        <v>21</v>
      </c>
      <c r="L64">
        <v>2021</v>
      </c>
      <c r="M64" t="s">
        <v>249</v>
      </c>
    </row>
    <row r="65" spans="1:13" x14ac:dyDescent="0.35">
      <c r="A65" t="s">
        <v>250</v>
      </c>
      <c r="B65" t="s">
        <v>251</v>
      </c>
      <c r="C65" t="s">
        <v>40</v>
      </c>
      <c r="D65" t="s">
        <v>41</v>
      </c>
      <c r="E65" t="s">
        <v>138</v>
      </c>
      <c r="F65" t="s">
        <v>139</v>
      </c>
      <c r="G65" t="s">
        <v>68</v>
      </c>
      <c r="H65">
        <v>125453</v>
      </c>
      <c r="I65">
        <v>3447.6</v>
      </c>
      <c r="J65" t="s">
        <v>113</v>
      </c>
      <c r="K65" t="s">
        <v>53</v>
      </c>
      <c r="L65">
        <v>2021</v>
      </c>
      <c r="M65" t="s">
        <v>252</v>
      </c>
    </row>
    <row r="66" spans="1:13" x14ac:dyDescent="0.35">
      <c r="A66" t="s">
        <v>253</v>
      </c>
      <c r="B66" t="s">
        <v>254</v>
      </c>
      <c r="C66" t="s">
        <v>25</v>
      </c>
      <c r="D66" t="s">
        <v>26</v>
      </c>
      <c r="E66" t="s">
        <v>34</v>
      </c>
      <c r="F66" t="s">
        <v>67</v>
      </c>
      <c r="G66" t="s">
        <v>19</v>
      </c>
      <c r="H66">
        <v>267381</v>
      </c>
      <c r="I66">
        <v>65313.89</v>
      </c>
      <c r="J66" t="s">
        <v>113</v>
      </c>
      <c r="K66" t="s">
        <v>21</v>
      </c>
      <c r="L66">
        <v>2021</v>
      </c>
      <c r="M66" t="s">
        <v>255</v>
      </c>
    </row>
    <row r="67" spans="1:13" x14ac:dyDescent="0.35">
      <c r="A67" t="s">
        <v>256</v>
      </c>
      <c r="B67" t="s">
        <v>257</v>
      </c>
      <c r="C67" t="s">
        <v>40</v>
      </c>
      <c r="D67" t="s">
        <v>96</v>
      </c>
      <c r="E67" t="s">
        <v>34</v>
      </c>
      <c r="F67" t="s">
        <v>58</v>
      </c>
      <c r="G67" t="s">
        <v>68</v>
      </c>
      <c r="H67">
        <v>118082</v>
      </c>
      <c r="I67">
        <v>21956.74</v>
      </c>
      <c r="J67" t="s">
        <v>212</v>
      </c>
      <c r="K67" t="s">
        <v>48</v>
      </c>
      <c r="L67">
        <v>2025</v>
      </c>
      <c r="M67" t="s">
        <v>258</v>
      </c>
    </row>
    <row r="68" spans="1:13" x14ac:dyDescent="0.35">
      <c r="A68" t="s">
        <v>259</v>
      </c>
      <c r="B68" t="s">
        <v>260</v>
      </c>
      <c r="C68" t="s">
        <v>15</v>
      </c>
      <c r="D68" t="s">
        <v>57</v>
      </c>
      <c r="E68" t="s">
        <v>17</v>
      </c>
      <c r="F68" t="s">
        <v>112</v>
      </c>
      <c r="G68" t="s">
        <v>36</v>
      </c>
      <c r="H68">
        <v>196288</v>
      </c>
      <c r="I68">
        <v>-147932.07999999999</v>
      </c>
      <c r="J68" t="s">
        <v>97</v>
      </c>
      <c r="K68" t="s">
        <v>53</v>
      </c>
      <c r="L68">
        <v>2025</v>
      </c>
      <c r="M68" t="s">
        <v>261</v>
      </c>
    </row>
    <row r="69" spans="1:13" x14ac:dyDescent="0.35">
      <c r="A69" t="s">
        <v>262</v>
      </c>
      <c r="B69" t="s">
        <v>263</v>
      </c>
      <c r="C69" t="s">
        <v>40</v>
      </c>
      <c r="D69" t="s">
        <v>66</v>
      </c>
      <c r="E69" t="s">
        <v>34</v>
      </c>
      <c r="F69" t="s">
        <v>101</v>
      </c>
      <c r="G69" t="s">
        <v>19</v>
      </c>
      <c r="H69">
        <v>87019</v>
      </c>
      <c r="I69">
        <v>17202.78</v>
      </c>
      <c r="J69" t="s">
        <v>20</v>
      </c>
      <c r="K69" t="s">
        <v>30</v>
      </c>
      <c r="L69">
        <v>2024</v>
      </c>
      <c r="M69" t="s">
        <v>264</v>
      </c>
    </row>
    <row r="70" spans="1:13" x14ac:dyDescent="0.35">
      <c r="A70" t="s">
        <v>265</v>
      </c>
      <c r="B70" t="s">
        <v>266</v>
      </c>
      <c r="C70" t="s">
        <v>76</v>
      </c>
      <c r="D70" t="s">
        <v>171</v>
      </c>
      <c r="E70" t="s">
        <v>17</v>
      </c>
      <c r="F70" t="s">
        <v>112</v>
      </c>
      <c r="G70" t="s">
        <v>19</v>
      </c>
      <c r="H70">
        <v>126600</v>
      </c>
      <c r="I70">
        <v>-123329.4</v>
      </c>
      <c r="J70" t="s">
        <v>79</v>
      </c>
      <c r="K70" t="s">
        <v>30</v>
      </c>
      <c r="L70">
        <v>2025</v>
      </c>
      <c r="M70" t="s">
        <v>267</v>
      </c>
    </row>
    <row r="71" spans="1:13" x14ac:dyDescent="0.35">
      <c r="A71" t="s">
        <v>268</v>
      </c>
      <c r="B71" t="s">
        <v>269</v>
      </c>
      <c r="C71" t="s">
        <v>40</v>
      </c>
      <c r="D71" t="s">
        <v>66</v>
      </c>
      <c r="E71" t="s">
        <v>34</v>
      </c>
      <c r="F71" t="s">
        <v>58</v>
      </c>
      <c r="G71" t="s">
        <v>68</v>
      </c>
      <c r="H71">
        <v>137535</v>
      </c>
      <c r="I71">
        <v>31379.35</v>
      </c>
      <c r="J71" t="s">
        <v>20</v>
      </c>
      <c r="K71" t="s">
        <v>53</v>
      </c>
      <c r="L71">
        <v>2021</v>
      </c>
      <c r="M71" t="s">
        <v>270</v>
      </c>
    </row>
    <row r="72" spans="1:13" x14ac:dyDescent="0.35">
      <c r="A72" t="s">
        <v>271</v>
      </c>
      <c r="B72" t="s">
        <v>272</v>
      </c>
      <c r="C72" t="s">
        <v>76</v>
      </c>
      <c r="D72" t="s">
        <v>105</v>
      </c>
      <c r="E72" t="s">
        <v>17</v>
      </c>
      <c r="F72" t="s">
        <v>52</v>
      </c>
      <c r="G72" t="s">
        <v>36</v>
      </c>
      <c r="H72">
        <v>125021</v>
      </c>
      <c r="I72">
        <v>-117144.82</v>
      </c>
      <c r="J72" t="s">
        <v>20</v>
      </c>
      <c r="K72" t="s">
        <v>48</v>
      </c>
      <c r="L72">
        <v>2023</v>
      </c>
      <c r="M72" t="s">
        <v>273</v>
      </c>
    </row>
    <row r="73" spans="1:13" x14ac:dyDescent="0.35">
      <c r="A73" t="s">
        <v>274</v>
      </c>
      <c r="B73" t="s">
        <v>275</v>
      </c>
      <c r="C73" t="s">
        <v>25</v>
      </c>
      <c r="D73" t="s">
        <v>149</v>
      </c>
      <c r="E73" t="s">
        <v>34</v>
      </c>
      <c r="F73" t="s">
        <v>101</v>
      </c>
      <c r="G73" t="s">
        <v>19</v>
      </c>
      <c r="H73">
        <v>238648</v>
      </c>
      <c r="I73">
        <v>31402.3</v>
      </c>
      <c r="J73" t="s">
        <v>47</v>
      </c>
      <c r="K73" t="s">
        <v>48</v>
      </c>
      <c r="L73">
        <v>2022</v>
      </c>
      <c r="M73" t="s">
        <v>276</v>
      </c>
    </row>
    <row r="74" spans="1:13" x14ac:dyDescent="0.35">
      <c r="A74" t="s">
        <v>277</v>
      </c>
      <c r="B74" t="s">
        <v>278</v>
      </c>
      <c r="C74" t="s">
        <v>40</v>
      </c>
      <c r="D74" t="s">
        <v>66</v>
      </c>
      <c r="E74" t="s">
        <v>34</v>
      </c>
      <c r="F74" t="s">
        <v>67</v>
      </c>
      <c r="G74" t="s">
        <v>68</v>
      </c>
      <c r="H74">
        <v>189514</v>
      </c>
      <c r="I74">
        <v>10370.84</v>
      </c>
      <c r="J74" t="s">
        <v>212</v>
      </c>
      <c r="K74" t="s">
        <v>21</v>
      </c>
      <c r="L74">
        <v>2021</v>
      </c>
      <c r="M74" t="s">
        <v>279</v>
      </c>
    </row>
    <row r="75" spans="1:13" x14ac:dyDescent="0.35">
      <c r="A75" t="s">
        <v>280</v>
      </c>
      <c r="B75" t="s">
        <v>281</v>
      </c>
      <c r="C75" t="s">
        <v>25</v>
      </c>
      <c r="D75" t="s">
        <v>26</v>
      </c>
      <c r="E75" t="s">
        <v>17</v>
      </c>
      <c r="F75" t="s">
        <v>18</v>
      </c>
      <c r="G75" t="s">
        <v>68</v>
      </c>
      <c r="H75">
        <v>146537</v>
      </c>
      <c r="I75">
        <v>-116169.45</v>
      </c>
      <c r="J75" t="s">
        <v>79</v>
      </c>
      <c r="K75" t="s">
        <v>53</v>
      </c>
      <c r="L75">
        <v>2025</v>
      </c>
      <c r="M75" t="s">
        <v>282</v>
      </c>
    </row>
    <row r="76" spans="1:13" x14ac:dyDescent="0.35">
      <c r="A76" t="s">
        <v>283</v>
      </c>
      <c r="B76" t="s">
        <v>284</v>
      </c>
      <c r="C76" t="s">
        <v>15</v>
      </c>
      <c r="D76" t="s">
        <v>16</v>
      </c>
      <c r="E76" t="s">
        <v>34</v>
      </c>
      <c r="F76" t="s">
        <v>58</v>
      </c>
      <c r="G76" t="s">
        <v>78</v>
      </c>
      <c r="H76">
        <v>253007</v>
      </c>
      <c r="I76">
        <v>62923.8</v>
      </c>
      <c r="J76" t="s">
        <v>212</v>
      </c>
      <c r="K76" t="s">
        <v>21</v>
      </c>
      <c r="L76">
        <v>2021</v>
      </c>
      <c r="M76" t="s">
        <v>285</v>
      </c>
    </row>
    <row r="77" spans="1:13" x14ac:dyDescent="0.35">
      <c r="A77" t="s">
        <v>286</v>
      </c>
      <c r="B77" t="s">
        <v>287</v>
      </c>
      <c r="C77" t="s">
        <v>15</v>
      </c>
      <c r="D77" t="s">
        <v>57</v>
      </c>
      <c r="E77" t="s">
        <v>17</v>
      </c>
      <c r="F77" t="s">
        <v>52</v>
      </c>
      <c r="G77" t="s">
        <v>19</v>
      </c>
      <c r="H77">
        <v>166190</v>
      </c>
      <c r="I77">
        <v>-152688.9</v>
      </c>
      <c r="J77" t="s">
        <v>97</v>
      </c>
      <c r="K77" t="s">
        <v>48</v>
      </c>
      <c r="L77">
        <v>2022</v>
      </c>
      <c r="M77" t="s">
        <v>288</v>
      </c>
    </row>
    <row r="78" spans="1:13" x14ac:dyDescent="0.35">
      <c r="A78" t="s">
        <v>289</v>
      </c>
      <c r="B78" t="s">
        <v>290</v>
      </c>
      <c r="C78" t="s">
        <v>40</v>
      </c>
      <c r="D78" t="s">
        <v>96</v>
      </c>
      <c r="E78" t="s">
        <v>34</v>
      </c>
      <c r="F78" t="s">
        <v>35</v>
      </c>
      <c r="G78" t="s">
        <v>19</v>
      </c>
      <c r="H78">
        <v>287686</v>
      </c>
      <c r="I78">
        <v>48650.42</v>
      </c>
      <c r="J78" t="s">
        <v>29</v>
      </c>
      <c r="K78" t="s">
        <v>30</v>
      </c>
      <c r="L78">
        <v>2025</v>
      </c>
      <c r="M78" t="s">
        <v>291</v>
      </c>
    </row>
    <row r="79" spans="1:13" x14ac:dyDescent="0.35">
      <c r="A79" t="s">
        <v>292</v>
      </c>
      <c r="B79" t="s">
        <v>293</v>
      </c>
      <c r="C79" t="s">
        <v>40</v>
      </c>
      <c r="D79" t="s">
        <v>41</v>
      </c>
      <c r="E79" t="s">
        <v>27</v>
      </c>
      <c r="F79" t="s">
        <v>204</v>
      </c>
      <c r="G79" t="s">
        <v>36</v>
      </c>
      <c r="H79">
        <v>638142</v>
      </c>
      <c r="I79">
        <v>-8873.84</v>
      </c>
      <c r="J79" t="s">
        <v>29</v>
      </c>
      <c r="K79" t="s">
        <v>21</v>
      </c>
      <c r="L79">
        <v>2024</v>
      </c>
      <c r="M79" t="s">
        <v>294</v>
      </c>
    </row>
    <row r="80" spans="1:13" x14ac:dyDescent="0.35">
      <c r="A80" t="s">
        <v>295</v>
      </c>
      <c r="B80" t="s">
        <v>296</v>
      </c>
      <c r="C80" t="s">
        <v>25</v>
      </c>
      <c r="D80" t="s">
        <v>83</v>
      </c>
      <c r="E80" t="s">
        <v>27</v>
      </c>
      <c r="F80" t="s">
        <v>204</v>
      </c>
      <c r="G80" t="s">
        <v>78</v>
      </c>
      <c r="H80">
        <v>509120</v>
      </c>
      <c r="I80">
        <v>50339.9</v>
      </c>
      <c r="J80" t="s">
        <v>59</v>
      </c>
      <c r="K80" t="s">
        <v>21</v>
      </c>
      <c r="L80">
        <v>2022</v>
      </c>
      <c r="M80" t="s">
        <v>297</v>
      </c>
    </row>
    <row r="81" spans="1:13" x14ac:dyDescent="0.35">
      <c r="A81" t="s">
        <v>298</v>
      </c>
      <c r="B81" t="s">
        <v>299</v>
      </c>
      <c r="C81" t="s">
        <v>15</v>
      </c>
      <c r="D81" t="s">
        <v>16</v>
      </c>
      <c r="E81" t="s">
        <v>27</v>
      </c>
      <c r="F81" t="s">
        <v>204</v>
      </c>
      <c r="G81" t="s">
        <v>19</v>
      </c>
      <c r="H81">
        <v>241956</v>
      </c>
      <c r="I81">
        <v>2553.42</v>
      </c>
      <c r="J81" t="s">
        <v>212</v>
      </c>
      <c r="K81" t="s">
        <v>48</v>
      </c>
      <c r="L81">
        <v>2024</v>
      </c>
      <c r="M81" t="s">
        <v>300</v>
      </c>
    </row>
    <row r="82" spans="1:13" x14ac:dyDescent="0.35">
      <c r="A82" t="s">
        <v>301</v>
      </c>
      <c r="B82" t="s">
        <v>302</v>
      </c>
      <c r="C82" t="s">
        <v>25</v>
      </c>
      <c r="D82" t="s">
        <v>83</v>
      </c>
      <c r="E82" t="s">
        <v>17</v>
      </c>
      <c r="F82" t="s">
        <v>112</v>
      </c>
      <c r="G82" t="s">
        <v>19</v>
      </c>
      <c r="H82">
        <v>128490</v>
      </c>
      <c r="I82">
        <v>-124238.17</v>
      </c>
      <c r="J82" t="s">
        <v>59</v>
      </c>
      <c r="K82" t="s">
        <v>48</v>
      </c>
      <c r="L82">
        <v>2021</v>
      </c>
      <c r="M82" t="s">
        <v>303</v>
      </c>
    </row>
    <row r="83" spans="1:13" x14ac:dyDescent="0.35">
      <c r="A83" t="s">
        <v>304</v>
      </c>
      <c r="B83" t="s">
        <v>305</v>
      </c>
      <c r="C83" t="s">
        <v>25</v>
      </c>
      <c r="D83" t="s">
        <v>26</v>
      </c>
      <c r="E83" t="s">
        <v>17</v>
      </c>
      <c r="F83" t="s">
        <v>112</v>
      </c>
      <c r="G83" t="s">
        <v>19</v>
      </c>
      <c r="H83">
        <v>51914</v>
      </c>
      <c r="I83">
        <v>-36814.42</v>
      </c>
      <c r="J83" t="s">
        <v>79</v>
      </c>
      <c r="K83" t="s">
        <v>48</v>
      </c>
      <c r="L83">
        <v>2025</v>
      </c>
      <c r="M83" t="s">
        <v>306</v>
      </c>
    </row>
    <row r="84" spans="1:13" x14ac:dyDescent="0.35">
      <c r="A84" t="s">
        <v>307</v>
      </c>
      <c r="B84" t="s">
        <v>308</v>
      </c>
      <c r="C84" t="s">
        <v>25</v>
      </c>
      <c r="D84" t="s">
        <v>149</v>
      </c>
      <c r="E84" t="s">
        <v>34</v>
      </c>
      <c r="F84" t="s">
        <v>67</v>
      </c>
      <c r="G84" t="s">
        <v>36</v>
      </c>
      <c r="H84">
        <v>252585</v>
      </c>
      <c r="I84">
        <v>25179.97</v>
      </c>
      <c r="J84" t="s">
        <v>79</v>
      </c>
      <c r="K84" t="s">
        <v>21</v>
      </c>
      <c r="L84">
        <v>2021</v>
      </c>
      <c r="M84" t="s">
        <v>234</v>
      </c>
    </row>
    <row r="85" spans="1:13" x14ac:dyDescent="0.35">
      <c r="A85" t="s">
        <v>309</v>
      </c>
      <c r="B85" t="s">
        <v>310</v>
      </c>
      <c r="C85" t="s">
        <v>40</v>
      </c>
      <c r="D85" t="s">
        <v>66</v>
      </c>
      <c r="E85" t="s">
        <v>138</v>
      </c>
      <c r="F85" t="s">
        <v>208</v>
      </c>
      <c r="G85" t="s">
        <v>78</v>
      </c>
      <c r="H85">
        <v>177054</v>
      </c>
      <c r="I85">
        <v>-17505.07</v>
      </c>
      <c r="J85" t="s">
        <v>97</v>
      </c>
      <c r="K85" t="s">
        <v>53</v>
      </c>
      <c r="L85">
        <v>2023</v>
      </c>
      <c r="M85" t="s">
        <v>311</v>
      </c>
    </row>
    <row r="86" spans="1:13" x14ac:dyDescent="0.35">
      <c r="A86" t="s">
        <v>312</v>
      </c>
      <c r="B86" t="s">
        <v>313</v>
      </c>
      <c r="C86" t="s">
        <v>40</v>
      </c>
      <c r="D86" t="s">
        <v>66</v>
      </c>
      <c r="E86" t="s">
        <v>27</v>
      </c>
      <c r="F86" t="s">
        <v>219</v>
      </c>
      <c r="G86" t="s">
        <v>78</v>
      </c>
      <c r="H86">
        <v>334900</v>
      </c>
      <c r="I86">
        <v>37303.760000000002</v>
      </c>
      <c r="J86" t="s">
        <v>212</v>
      </c>
      <c r="K86" t="s">
        <v>30</v>
      </c>
      <c r="L86">
        <v>2023</v>
      </c>
      <c r="M86" t="s">
        <v>314</v>
      </c>
    </row>
    <row r="87" spans="1:13" x14ac:dyDescent="0.35">
      <c r="A87" t="s">
        <v>315</v>
      </c>
      <c r="B87" t="s">
        <v>316</v>
      </c>
      <c r="C87" t="s">
        <v>15</v>
      </c>
      <c r="D87" t="s">
        <v>16</v>
      </c>
      <c r="E87" t="s">
        <v>34</v>
      </c>
      <c r="F87" t="s">
        <v>101</v>
      </c>
      <c r="G87" t="s">
        <v>78</v>
      </c>
      <c r="H87">
        <v>197722</v>
      </c>
      <c r="I87">
        <v>35244.68</v>
      </c>
      <c r="J87" t="s">
        <v>29</v>
      </c>
      <c r="K87" t="s">
        <v>21</v>
      </c>
      <c r="L87">
        <v>2022</v>
      </c>
      <c r="M87" t="s">
        <v>317</v>
      </c>
    </row>
    <row r="88" spans="1:13" x14ac:dyDescent="0.35">
      <c r="A88" t="s">
        <v>318</v>
      </c>
      <c r="B88" t="s">
        <v>319</v>
      </c>
      <c r="C88" t="s">
        <v>76</v>
      </c>
      <c r="D88" t="s">
        <v>105</v>
      </c>
      <c r="E88" t="s">
        <v>34</v>
      </c>
      <c r="F88" t="s">
        <v>35</v>
      </c>
      <c r="G88" t="s">
        <v>19</v>
      </c>
      <c r="H88">
        <v>54791</v>
      </c>
      <c r="I88">
        <v>4680.3900000000003</v>
      </c>
      <c r="J88" t="s">
        <v>212</v>
      </c>
      <c r="K88" t="s">
        <v>21</v>
      </c>
      <c r="L88">
        <v>2021</v>
      </c>
      <c r="M88" t="s">
        <v>320</v>
      </c>
    </row>
    <row r="89" spans="1:13" x14ac:dyDescent="0.35">
      <c r="A89" t="s">
        <v>321</v>
      </c>
      <c r="B89" t="s">
        <v>322</v>
      </c>
      <c r="C89" t="s">
        <v>15</v>
      </c>
      <c r="D89" t="s">
        <v>16</v>
      </c>
      <c r="E89" t="s">
        <v>27</v>
      </c>
      <c r="F89" t="s">
        <v>204</v>
      </c>
      <c r="G89" t="s">
        <v>19</v>
      </c>
      <c r="H89">
        <v>874700</v>
      </c>
      <c r="I89">
        <v>126486.73</v>
      </c>
      <c r="J89" t="s">
        <v>113</v>
      </c>
      <c r="K89" t="s">
        <v>30</v>
      </c>
      <c r="L89">
        <v>2021</v>
      </c>
      <c r="M89" t="s">
        <v>323</v>
      </c>
    </row>
    <row r="90" spans="1:13" x14ac:dyDescent="0.35">
      <c r="A90" t="s">
        <v>324</v>
      </c>
      <c r="B90" t="s">
        <v>325</v>
      </c>
      <c r="C90" t="s">
        <v>40</v>
      </c>
      <c r="D90" t="s">
        <v>41</v>
      </c>
      <c r="E90" t="s">
        <v>34</v>
      </c>
      <c r="F90" t="s">
        <v>101</v>
      </c>
      <c r="G90" t="s">
        <v>78</v>
      </c>
      <c r="H90">
        <v>188525</v>
      </c>
      <c r="I90">
        <v>33960.83</v>
      </c>
      <c r="J90" t="s">
        <v>212</v>
      </c>
      <c r="K90" t="s">
        <v>30</v>
      </c>
      <c r="L90">
        <v>2023</v>
      </c>
      <c r="M90" t="s">
        <v>326</v>
      </c>
    </row>
    <row r="91" spans="1:13" x14ac:dyDescent="0.35">
      <c r="A91" t="s">
        <v>327</v>
      </c>
      <c r="B91" t="s">
        <v>328</v>
      </c>
      <c r="C91" t="s">
        <v>76</v>
      </c>
      <c r="D91" t="s">
        <v>105</v>
      </c>
      <c r="E91" t="s">
        <v>34</v>
      </c>
      <c r="F91" t="s">
        <v>58</v>
      </c>
      <c r="G91" t="s">
        <v>19</v>
      </c>
      <c r="H91">
        <v>179477</v>
      </c>
      <c r="I91">
        <v>15257.3</v>
      </c>
      <c r="J91" t="s">
        <v>59</v>
      </c>
      <c r="K91" t="s">
        <v>21</v>
      </c>
      <c r="L91">
        <v>2024</v>
      </c>
      <c r="M91" t="s">
        <v>329</v>
      </c>
    </row>
    <row r="92" spans="1:13" x14ac:dyDescent="0.35">
      <c r="A92" t="s">
        <v>330</v>
      </c>
      <c r="B92" t="s">
        <v>331</v>
      </c>
      <c r="C92" t="s">
        <v>15</v>
      </c>
      <c r="D92" t="s">
        <v>16</v>
      </c>
      <c r="E92" t="s">
        <v>34</v>
      </c>
      <c r="F92" t="s">
        <v>58</v>
      </c>
      <c r="G92" t="s">
        <v>19</v>
      </c>
      <c r="H92">
        <v>229687</v>
      </c>
      <c r="I92">
        <v>30227.4</v>
      </c>
      <c r="J92" t="s">
        <v>29</v>
      </c>
      <c r="K92" t="s">
        <v>30</v>
      </c>
      <c r="L92">
        <v>2021</v>
      </c>
      <c r="M92" t="s">
        <v>332</v>
      </c>
    </row>
    <row r="93" spans="1:13" x14ac:dyDescent="0.35">
      <c r="A93" t="s">
        <v>333</v>
      </c>
      <c r="B93" t="s">
        <v>334</v>
      </c>
      <c r="C93" t="s">
        <v>76</v>
      </c>
      <c r="D93" t="s">
        <v>77</v>
      </c>
      <c r="E93" t="s">
        <v>34</v>
      </c>
      <c r="F93" t="s">
        <v>101</v>
      </c>
      <c r="G93" t="s">
        <v>36</v>
      </c>
      <c r="H93">
        <v>258056</v>
      </c>
      <c r="I93">
        <v>36341.279999999999</v>
      </c>
      <c r="J93" t="s">
        <v>212</v>
      </c>
      <c r="K93" t="s">
        <v>48</v>
      </c>
      <c r="L93">
        <v>2025</v>
      </c>
      <c r="M93" t="s">
        <v>335</v>
      </c>
    </row>
    <row r="94" spans="1:13" x14ac:dyDescent="0.35">
      <c r="A94" t="s">
        <v>336</v>
      </c>
      <c r="B94" t="s">
        <v>337</v>
      </c>
      <c r="C94" t="s">
        <v>40</v>
      </c>
      <c r="D94" t="s">
        <v>41</v>
      </c>
      <c r="E94" t="s">
        <v>27</v>
      </c>
      <c r="F94" t="s">
        <v>219</v>
      </c>
      <c r="G94" t="s">
        <v>19</v>
      </c>
      <c r="H94">
        <v>258899</v>
      </c>
      <c r="I94">
        <v>-7043.08</v>
      </c>
      <c r="J94" t="s">
        <v>97</v>
      </c>
      <c r="K94" t="s">
        <v>21</v>
      </c>
      <c r="L94">
        <v>2023</v>
      </c>
      <c r="M94" t="s">
        <v>338</v>
      </c>
    </row>
    <row r="95" spans="1:13" x14ac:dyDescent="0.35">
      <c r="A95" t="s">
        <v>339</v>
      </c>
      <c r="B95" t="s">
        <v>340</v>
      </c>
      <c r="C95" t="s">
        <v>40</v>
      </c>
      <c r="D95" t="s">
        <v>41</v>
      </c>
      <c r="E95" t="s">
        <v>17</v>
      </c>
      <c r="F95" t="s">
        <v>42</v>
      </c>
      <c r="G95" t="s">
        <v>78</v>
      </c>
      <c r="H95">
        <v>154153</v>
      </c>
      <c r="I95">
        <v>-146361.69</v>
      </c>
      <c r="J95" t="s">
        <v>79</v>
      </c>
      <c r="K95" t="s">
        <v>53</v>
      </c>
      <c r="L95">
        <v>2022</v>
      </c>
      <c r="M95" t="s">
        <v>341</v>
      </c>
    </row>
    <row r="96" spans="1:13" x14ac:dyDescent="0.35">
      <c r="A96" t="s">
        <v>342</v>
      </c>
      <c r="B96" t="s">
        <v>343</v>
      </c>
      <c r="C96" t="s">
        <v>15</v>
      </c>
      <c r="D96" t="s">
        <v>57</v>
      </c>
      <c r="E96" t="s">
        <v>34</v>
      </c>
      <c r="F96" t="s">
        <v>58</v>
      </c>
      <c r="G96" t="s">
        <v>68</v>
      </c>
      <c r="H96">
        <v>86072</v>
      </c>
      <c r="I96">
        <v>14228.95</v>
      </c>
      <c r="J96" t="s">
        <v>113</v>
      </c>
      <c r="K96" t="s">
        <v>21</v>
      </c>
      <c r="L96">
        <v>2023</v>
      </c>
      <c r="M96" t="s">
        <v>344</v>
      </c>
    </row>
    <row r="97" spans="1:13" x14ac:dyDescent="0.35">
      <c r="A97" t="s">
        <v>345</v>
      </c>
      <c r="B97" t="s">
        <v>346</v>
      </c>
      <c r="C97" t="s">
        <v>40</v>
      </c>
      <c r="D97" t="s">
        <v>66</v>
      </c>
      <c r="E97" t="s">
        <v>34</v>
      </c>
      <c r="F97" t="s">
        <v>58</v>
      </c>
      <c r="G97" t="s">
        <v>19</v>
      </c>
      <c r="H97">
        <v>252283</v>
      </c>
      <c r="I97">
        <v>44836.55</v>
      </c>
      <c r="J97" t="s">
        <v>20</v>
      </c>
      <c r="K97" t="s">
        <v>30</v>
      </c>
      <c r="L97">
        <v>2024</v>
      </c>
      <c r="M97" t="s">
        <v>347</v>
      </c>
    </row>
    <row r="98" spans="1:13" x14ac:dyDescent="0.35">
      <c r="A98" t="s">
        <v>348</v>
      </c>
      <c r="B98" t="s">
        <v>349</v>
      </c>
      <c r="C98" t="s">
        <v>25</v>
      </c>
      <c r="D98" t="s">
        <v>83</v>
      </c>
      <c r="E98" t="s">
        <v>34</v>
      </c>
      <c r="F98" t="s">
        <v>35</v>
      </c>
      <c r="G98" t="s">
        <v>68</v>
      </c>
      <c r="H98">
        <v>31134</v>
      </c>
      <c r="I98">
        <v>2544.88</v>
      </c>
      <c r="J98" t="s">
        <v>79</v>
      </c>
      <c r="K98" t="s">
        <v>21</v>
      </c>
      <c r="L98">
        <v>2021</v>
      </c>
      <c r="M98" t="s">
        <v>350</v>
      </c>
    </row>
    <row r="99" spans="1:13" x14ac:dyDescent="0.35">
      <c r="A99" t="s">
        <v>351</v>
      </c>
      <c r="B99" t="s">
        <v>352</v>
      </c>
      <c r="C99" t="s">
        <v>15</v>
      </c>
      <c r="D99" t="s">
        <v>16</v>
      </c>
      <c r="E99" t="s">
        <v>138</v>
      </c>
      <c r="F99" t="s">
        <v>139</v>
      </c>
      <c r="G99" t="s">
        <v>36</v>
      </c>
      <c r="H99">
        <v>119610</v>
      </c>
      <c r="I99">
        <v>2258.5700000000002</v>
      </c>
      <c r="J99" t="s">
        <v>79</v>
      </c>
      <c r="K99" t="s">
        <v>53</v>
      </c>
      <c r="L99">
        <v>2022</v>
      </c>
      <c r="M99" t="s">
        <v>353</v>
      </c>
    </row>
    <row r="100" spans="1:13" x14ac:dyDescent="0.35">
      <c r="A100" t="s">
        <v>354</v>
      </c>
      <c r="B100" t="s">
        <v>355</v>
      </c>
      <c r="C100" t="s">
        <v>25</v>
      </c>
      <c r="D100" t="s">
        <v>26</v>
      </c>
      <c r="E100" t="s">
        <v>34</v>
      </c>
      <c r="F100" t="s">
        <v>101</v>
      </c>
      <c r="G100" t="s">
        <v>36</v>
      </c>
      <c r="H100">
        <v>201510</v>
      </c>
      <c r="I100">
        <v>11242.46</v>
      </c>
      <c r="J100" t="s">
        <v>29</v>
      </c>
      <c r="K100" t="s">
        <v>48</v>
      </c>
      <c r="L100">
        <v>2021</v>
      </c>
      <c r="M100" t="s">
        <v>356</v>
      </c>
    </row>
    <row r="101" spans="1:13" x14ac:dyDescent="0.35">
      <c r="A101" t="s">
        <v>357</v>
      </c>
      <c r="B101" t="s">
        <v>358</v>
      </c>
      <c r="C101" t="s">
        <v>76</v>
      </c>
      <c r="D101" t="s">
        <v>171</v>
      </c>
      <c r="E101" t="s">
        <v>27</v>
      </c>
      <c r="F101" t="s">
        <v>204</v>
      </c>
      <c r="G101" t="s">
        <v>19</v>
      </c>
      <c r="H101">
        <v>966097</v>
      </c>
      <c r="I101">
        <v>37875.160000000003</v>
      </c>
      <c r="J101" t="s">
        <v>29</v>
      </c>
      <c r="K101" t="s">
        <v>48</v>
      </c>
      <c r="L101">
        <v>2025</v>
      </c>
      <c r="M101" t="s">
        <v>359</v>
      </c>
    </row>
    <row r="102" spans="1:13" x14ac:dyDescent="0.35">
      <c r="A102" t="s">
        <v>360</v>
      </c>
      <c r="B102" t="s">
        <v>361</v>
      </c>
      <c r="C102" t="s">
        <v>76</v>
      </c>
      <c r="D102" t="s">
        <v>105</v>
      </c>
      <c r="E102" t="s">
        <v>34</v>
      </c>
      <c r="F102" t="s">
        <v>101</v>
      </c>
      <c r="G102" t="s">
        <v>36</v>
      </c>
      <c r="H102">
        <v>116384</v>
      </c>
      <c r="I102">
        <v>15180.09</v>
      </c>
      <c r="J102" t="s">
        <v>79</v>
      </c>
      <c r="K102" t="s">
        <v>21</v>
      </c>
      <c r="L102">
        <v>2025</v>
      </c>
      <c r="M102" t="s">
        <v>267</v>
      </c>
    </row>
    <row r="103" spans="1:13" x14ac:dyDescent="0.35">
      <c r="A103" t="s">
        <v>362</v>
      </c>
      <c r="B103" t="s">
        <v>363</v>
      </c>
      <c r="C103" t="s">
        <v>40</v>
      </c>
      <c r="D103" t="s">
        <v>41</v>
      </c>
      <c r="E103" t="s">
        <v>138</v>
      </c>
      <c r="F103" t="s">
        <v>208</v>
      </c>
      <c r="G103" t="s">
        <v>78</v>
      </c>
      <c r="H103">
        <v>132822</v>
      </c>
      <c r="I103">
        <v>-21509.57</v>
      </c>
      <c r="J103" t="s">
        <v>79</v>
      </c>
      <c r="K103" t="s">
        <v>53</v>
      </c>
      <c r="L103">
        <v>2021</v>
      </c>
      <c r="M103" t="s">
        <v>364</v>
      </c>
    </row>
    <row r="104" spans="1:13" x14ac:dyDescent="0.35">
      <c r="A104" t="s">
        <v>365</v>
      </c>
      <c r="B104" t="s">
        <v>366</v>
      </c>
      <c r="C104" t="s">
        <v>25</v>
      </c>
      <c r="D104" t="s">
        <v>149</v>
      </c>
      <c r="E104" t="s">
        <v>17</v>
      </c>
      <c r="F104" t="s">
        <v>18</v>
      </c>
      <c r="G104" t="s">
        <v>19</v>
      </c>
      <c r="H104">
        <v>183697</v>
      </c>
      <c r="I104">
        <v>-170758.54</v>
      </c>
      <c r="J104" t="s">
        <v>79</v>
      </c>
      <c r="K104" t="s">
        <v>21</v>
      </c>
      <c r="L104">
        <v>2024</v>
      </c>
      <c r="M104" t="s">
        <v>367</v>
      </c>
    </row>
    <row r="105" spans="1:13" x14ac:dyDescent="0.35">
      <c r="A105" t="s">
        <v>368</v>
      </c>
      <c r="B105" t="s">
        <v>369</v>
      </c>
      <c r="C105" t="s">
        <v>40</v>
      </c>
      <c r="D105" t="s">
        <v>66</v>
      </c>
      <c r="E105" t="s">
        <v>17</v>
      </c>
      <c r="F105" t="s">
        <v>18</v>
      </c>
      <c r="G105" t="s">
        <v>68</v>
      </c>
      <c r="H105">
        <v>89569</v>
      </c>
      <c r="I105">
        <v>-73865.62</v>
      </c>
      <c r="J105" t="s">
        <v>113</v>
      </c>
      <c r="K105" t="s">
        <v>48</v>
      </c>
      <c r="L105">
        <v>2025</v>
      </c>
      <c r="M105" t="s">
        <v>370</v>
      </c>
    </row>
    <row r="106" spans="1:13" x14ac:dyDescent="0.35">
      <c r="A106" t="s">
        <v>371</v>
      </c>
      <c r="B106" t="s">
        <v>372</v>
      </c>
      <c r="C106" t="s">
        <v>15</v>
      </c>
      <c r="D106" t="s">
        <v>46</v>
      </c>
      <c r="E106" t="s">
        <v>34</v>
      </c>
      <c r="F106" t="s">
        <v>101</v>
      </c>
      <c r="G106" t="s">
        <v>68</v>
      </c>
      <c r="H106">
        <v>36013</v>
      </c>
      <c r="I106">
        <v>5522.18</v>
      </c>
      <c r="J106" t="s">
        <v>47</v>
      </c>
      <c r="K106" t="s">
        <v>48</v>
      </c>
      <c r="L106">
        <v>2024</v>
      </c>
      <c r="M106" t="s">
        <v>373</v>
      </c>
    </row>
    <row r="107" spans="1:13" x14ac:dyDescent="0.35">
      <c r="A107" t="s">
        <v>374</v>
      </c>
      <c r="B107" t="s">
        <v>375</v>
      </c>
      <c r="C107" t="s">
        <v>76</v>
      </c>
      <c r="D107" t="s">
        <v>105</v>
      </c>
      <c r="E107" t="s">
        <v>17</v>
      </c>
      <c r="F107" t="s">
        <v>18</v>
      </c>
      <c r="G107" t="s">
        <v>36</v>
      </c>
      <c r="H107">
        <v>121881</v>
      </c>
      <c r="I107">
        <v>-104430.6</v>
      </c>
      <c r="J107" t="s">
        <v>20</v>
      </c>
      <c r="K107" t="s">
        <v>30</v>
      </c>
      <c r="L107">
        <v>2021</v>
      </c>
      <c r="M107" t="s">
        <v>376</v>
      </c>
    </row>
    <row r="108" spans="1:13" x14ac:dyDescent="0.35">
      <c r="A108" t="s">
        <v>377</v>
      </c>
      <c r="B108" t="s">
        <v>378</v>
      </c>
      <c r="C108" t="s">
        <v>40</v>
      </c>
      <c r="D108" t="s">
        <v>96</v>
      </c>
      <c r="E108" t="s">
        <v>27</v>
      </c>
      <c r="F108" t="s">
        <v>379</v>
      </c>
      <c r="G108" t="s">
        <v>19</v>
      </c>
      <c r="H108">
        <v>437753</v>
      </c>
      <c r="I108">
        <v>37726.92</v>
      </c>
      <c r="J108" t="s">
        <v>113</v>
      </c>
      <c r="K108" t="s">
        <v>53</v>
      </c>
      <c r="L108">
        <v>2022</v>
      </c>
      <c r="M108" t="s">
        <v>380</v>
      </c>
    </row>
    <row r="109" spans="1:13" x14ac:dyDescent="0.35">
      <c r="A109" t="s">
        <v>381</v>
      </c>
      <c r="B109" t="s">
        <v>382</v>
      </c>
      <c r="C109" t="s">
        <v>40</v>
      </c>
      <c r="D109" t="s">
        <v>96</v>
      </c>
      <c r="E109" t="s">
        <v>17</v>
      </c>
      <c r="F109" t="s">
        <v>112</v>
      </c>
      <c r="G109" t="s">
        <v>19</v>
      </c>
      <c r="H109">
        <v>150756</v>
      </c>
      <c r="I109">
        <v>-144340.64000000001</v>
      </c>
      <c r="J109" t="s">
        <v>79</v>
      </c>
      <c r="K109" t="s">
        <v>48</v>
      </c>
      <c r="L109">
        <v>2021</v>
      </c>
      <c r="M109" t="s">
        <v>383</v>
      </c>
    </row>
    <row r="110" spans="1:13" x14ac:dyDescent="0.35">
      <c r="A110" t="s">
        <v>384</v>
      </c>
      <c r="B110" t="s">
        <v>385</v>
      </c>
      <c r="C110" t="s">
        <v>76</v>
      </c>
      <c r="D110" t="s">
        <v>105</v>
      </c>
      <c r="E110" t="s">
        <v>17</v>
      </c>
      <c r="F110" t="s">
        <v>18</v>
      </c>
      <c r="G110" t="s">
        <v>36</v>
      </c>
      <c r="H110">
        <v>57309</v>
      </c>
      <c r="I110">
        <v>-55198.28</v>
      </c>
      <c r="J110" t="s">
        <v>59</v>
      </c>
      <c r="K110" t="s">
        <v>53</v>
      </c>
      <c r="L110">
        <v>2022</v>
      </c>
      <c r="M110" t="s">
        <v>193</v>
      </c>
    </row>
    <row r="111" spans="1:13" x14ac:dyDescent="0.35">
      <c r="A111" t="s">
        <v>386</v>
      </c>
      <c r="B111" t="s">
        <v>387</v>
      </c>
      <c r="C111" t="s">
        <v>40</v>
      </c>
      <c r="D111" t="s">
        <v>41</v>
      </c>
      <c r="E111" t="s">
        <v>17</v>
      </c>
      <c r="F111" t="s">
        <v>72</v>
      </c>
      <c r="G111" t="s">
        <v>19</v>
      </c>
      <c r="H111">
        <v>162539</v>
      </c>
      <c r="I111">
        <v>-117672.22</v>
      </c>
      <c r="J111" t="s">
        <v>79</v>
      </c>
      <c r="K111" t="s">
        <v>53</v>
      </c>
      <c r="L111">
        <v>2021</v>
      </c>
      <c r="M111" t="s">
        <v>267</v>
      </c>
    </row>
    <row r="112" spans="1:13" x14ac:dyDescent="0.35">
      <c r="A112" t="s">
        <v>388</v>
      </c>
      <c r="B112" t="s">
        <v>389</v>
      </c>
      <c r="C112" t="s">
        <v>15</v>
      </c>
      <c r="D112" t="s">
        <v>46</v>
      </c>
      <c r="E112" t="s">
        <v>17</v>
      </c>
      <c r="F112" t="s">
        <v>112</v>
      </c>
      <c r="G112" t="s">
        <v>19</v>
      </c>
      <c r="H112">
        <v>154991</v>
      </c>
      <c r="I112">
        <v>-112033.44</v>
      </c>
      <c r="J112" t="s">
        <v>47</v>
      </c>
      <c r="K112" t="s">
        <v>30</v>
      </c>
      <c r="L112">
        <v>2021</v>
      </c>
      <c r="M112" t="s">
        <v>291</v>
      </c>
    </row>
    <row r="113" spans="1:13" x14ac:dyDescent="0.35">
      <c r="A113" t="s">
        <v>390</v>
      </c>
      <c r="B113" t="s">
        <v>391</v>
      </c>
      <c r="C113" t="s">
        <v>15</v>
      </c>
      <c r="D113" t="s">
        <v>16</v>
      </c>
      <c r="E113" t="s">
        <v>17</v>
      </c>
      <c r="F113" t="s">
        <v>112</v>
      </c>
      <c r="G113" t="s">
        <v>19</v>
      </c>
      <c r="H113">
        <v>159968</v>
      </c>
      <c r="I113">
        <v>-114605.9</v>
      </c>
      <c r="J113" t="s">
        <v>29</v>
      </c>
      <c r="K113" t="s">
        <v>21</v>
      </c>
      <c r="L113">
        <v>2023</v>
      </c>
      <c r="M113" t="s">
        <v>392</v>
      </c>
    </row>
    <row r="114" spans="1:13" x14ac:dyDescent="0.35">
      <c r="A114" t="s">
        <v>393</v>
      </c>
      <c r="B114" t="s">
        <v>394</v>
      </c>
      <c r="C114" t="s">
        <v>40</v>
      </c>
      <c r="D114" t="s">
        <v>41</v>
      </c>
      <c r="E114" t="s">
        <v>17</v>
      </c>
      <c r="F114" t="s">
        <v>52</v>
      </c>
      <c r="G114" t="s">
        <v>36</v>
      </c>
      <c r="H114">
        <v>197722</v>
      </c>
      <c r="I114">
        <v>-173861.2</v>
      </c>
      <c r="J114" t="s">
        <v>20</v>
      </c>
      <c r="K114" t="s">
        <v>48</v>
      </c>
      <c r="L114">
        <v>2023</v>
      </c>
      <c r="M114" t="s">
        <v>395</v>
      </c>
    </row>
    <row r="115" spans="1:13" x14ac:dyDescent="0.35">
      <c r="A115" t="s">
        <v>396</v>
      </c>
      <c r="B115" t="s">
        <v>62</v>
      </c>
      <c r="C115" t="s">
        <v>40</v>
      </c>
      <c r="D115" t="s">
        <v>41</v>
      </c>
      <c r="E115" t="s">
        <v>34</v>
      </c>
      <c r="F115" t="s">
        <v>35</v>
      </c>
      <c r="G115" t="s">
        <v>19</v>
      </c>
      <c r="H115">
        <v>165988</v>
      </c>
      <c r="I115">
        <v>14270.3</v>
      </c>
      <c r="J115" t="s">
        <v>97</v>
      </c>
      <c r="K115" t="s">
        <v>48</v>
      </c>
      <c r="L115">
        <v>2022</v>
      </c>
      <c r="M115" t="s">
        <v>397</v>
      </c>
    </row>
    <row r="116" spans="1:13" x14ac:dyDescent="0.35">
      <c r="A116" t="s">
        <v>398</v>
      </c>
      <c r="B116" t="s">
        <v>399</v>
      </c>
      <c r="C116" t="s">
        <v>40</v>
      </c>
      <c r="D116" t="s">
        <v>66</v>
      </c>
      <c r="E116" t="s">
        <v>17</v>
      </c>
      <c r="F116" t="s">
        <v>72</v>
      </c>
      <c r="G116" t="s">
        <v>68</v>
      </c>
      <c r="H116">
        <v>196950</v>
      </c>
      <c r="I116">
        <v>-196158.19</v>
      </c>
      <c r="J116" t="s">
        <v>29</v>
      </c>
      <c r="K116" t="s">
        <v>48</v>
      </c>
      <c r="L116">
        <v>2021</v>
      </c>
      <c r="M116" t="s">
        <v>400</v>
      </c>
    </row>
    <row r="117" spans="1:13" x14ac:dyDescent="0.35">
      <c r="A117" t="s">
        <v>401</v>
      </c>
      <c r="B117" t="s">
        <v>322</v>
      </c>
      <c r="C117" t="s">
        <v>25</v>
      </c>
      <c r="D117" t="s">
        <v>83</v>
      </c>
      <c r="E117" t="s">
        <v>34</v>
      </c>
      <c r="F117" t="s">
        <v>58</v>
      </c>
      <c r="G117" t="s">
        <v>36</v>
      </c>
      <c r="H117">
        <v>22536</v>
      </c>
      <c r="I117">
        <v>3215.11</v>
      </c>
      <c r="J117" t="s">
        <v>113</v>
      </c>
      <c r="K117" t="s">
        <v>30</v>
      </c>
      <c r="L117">
        <v>2021</v>
      </c>
      <c r="M117" t="s">
        <v>402</v>
      </c>
    </row>
    <row r="118" spans="1:13" x14ac:dyDescent="0.35">
      <c r="A118" t="s">
        <v>403</v>
      </c>
      <c r="B118" t="s">
        <v>404</v>
      </c>
      <c r="C118" t="s">
        <v>40</v>
      </c>
      <c r="D118" t="s">
        <v>41</v>
      </c>
      <c r="E118" t="s">
        <v>17</v>
      </c>
      <c r="F118" t="s">
        <v>112</v>
      </c>
      <c r="G118" t="s">
        <v>19</v>
      </c>
      <c r="H118">
        <v>7177</v>
      </c>
      <c r="I118">
        <v>-5226.97</v>
      </c>
      <c r="J118" t="s">
        <v>29</v>
      </c>
      <c r="K118" t="s">
        <v>21</v>
      </c>
      <c r="L118">
        <v>2022</v>
      </c>
      <c r="M118" t="s">
        <v>405</v>
      </c>
    </row>
    <row r="119" spans="1:13" x14ac:dyDescent="0.35">
      <c r="A119" t="s">
        <v>406</v>
      </c>
      <c r="B119" t="s">
        <v>407</v>
      </c>
      <c r="C119" t="s">
        <v>76</v>
      </c>
      <c r="D119" t="s">
        <v>77</v>
      </c>
      <c r="E119" t="s">
        <v>17</v>
      </c>
      <c r="F119" t="s">
        <v>112</v>
      </c>
      <c r="G119" t="s">
        <v>36</v>
      </c>
      <c r="H119">
        <v>104495</v>
      </c>
      <c r="I119">
        <v>-88829.4</v>
      </c>
      <c r="J119" t="s">
        <v>20</v>
      </c>
      <c r="K119" t="s">
        <v>30</v>
      </c>
      <c r="L119">
        <v>2022</v>
      </c>
      <c r="M119" t="s">
        <v>408</v>
      </c>
    </row>
    <row r="120" spans="1:13" x14ac:dyDescent="0.35">
      <c r="A120" t="s">
        <v>409</v>
      </c>
      <c r="B120" t="s">
        <v>410</v>
      </c>
      <c r="C120" t="s">
        <v>25</v>
      </c>
      <c r="D120" t="s">
        <v>83</v>
      </c>
      <c r="E120" t="s">
        <v>34</v>
      </c>
      <c r="F120" t="s">
        <v>101</v>
      </c>
      <c r="G120" t="s">
        <v>36</v>
      </c>
      <c r="H120">
        <v>139820</v>
      </c>
      <c r="I120">
        <v>14102.8</v>
      </c>
      <c r="J120" t="s">
        <v>20</v>
      </c>
      <c r="K120" t="s">
        <v>30</v>
      </c>
      <c r="L120">
        <v>2024</v>
      </c>
      <c r="M120" t="s">
        <v>411</v>
      </c>
    </row>
    <row r="121" spans="1:13" x14ac:dyDescent="0.35">
      <c r="A121" t="s">
        <v>412</v>
      </c>
      <c r="B121" t="s">
        <v>413</v>
      </c>
      <c r="C121" t="s">
        <v>40</v>
      </c>
      <c r="D121" t="s">
        <v>41</v>
      </c>
      <c r="E121" t="s">
        <v>34</v>
      </c>
      <c r="F121" t="s">
        <v>101</v>
      </c>
      <c r="G121" t="s">
        <v>19</v>
      </c>
      <c r="H121">
        <v>262983</v>
      </c>
      <c r="I121">
        <v>22332.98</v>
      </c>
      <c r="J121" t="s">
        <v>20</v>
      </c>
      <c r="K121" t="s">
        <v>53</v>
      </c>
      <c r="L121">
        <v>2021</v>
      </c>
      <c r="M121" t="s">
        <v>414</v>
      </c>
    </row>
    <row r="122" spans="1:13" x14ac:dyDescent="0.35">
      <c r="A122" t="s">
        <v>415</v>
      </c>
      <c r="B122" t="s">
        <v>416</v>
      </c>
      <c r="C122" t="s">
        <v>40</v>
      </c>
      <c r="D122" t="s">
        <v>66</v>
      </c>
      <c r="E122" t="s">
        <v>34</v>
      </c>
      <c r="F122" t="s">
        <v>67</v>
      </c>
      <c r="G122" t="s">
        <v>19</v>
      </c>
      <c r="H122">
        <v>134375</v>
      </c>
      <c r="I122">
        <v>10143.89</v>
      </c>
      <c r="J122" t="s">
        <v>212</v>
      </c>
      <c r="K122" t="s">
        <v>30</v>
      </c>
      <c r="L122">
        <v>2022</v>
      </c>
      <c r="M122" t="s">
        <v>417</v>
      </c>
    </row>
    <row r="123" spans="1:13" x14ac:dyDescent="0.35">
      <c r="A123" t="s">
        <v>418</v>
      </c>
      <c r="B123" t="s">
        <v>419</v>
      </c>
      <c r="C123" t="s">
        <v>25</v>
      </c>
      <c r="D123" t="s">
        <v>83</v>
      </c>
      <c r="E123" t="s">
        <v>17</v>
      </c>
      <c r="F123" t="s">
        <v>112</v>
      </c>
      <c r="G123" t="s">
        <v>78</v>
      </c>
      <c r="H123">
        <v>145692</v>
      </c>
      <c r="I123">
        <v>-125228.01</v>
      </c>
      <c r="J123" t="s">
        <v>97</v>
      </c>
      <c r="K123" t="s">
        <v>53</v>
      </c>
      <c r="L123">
        <v>2025</v>
      </c>
      <c r="M123" t="s">
        <v>420</v>
      </c>
    </row>
    <row r="124" spans="1:13" x14ac:dyDescent="0.35">
      <c r="A124" t="s">
        <v>421</v>
      </c>
      <c r="B124" t="s">
        <v>422</v>
      </c>
      <c r="C124" t="s">
        <v>25</v>
      </c>
      <c r="D124" t="s">
        <v>83</v>
      </c>
      <c r="E124" t="s">
        <v>34</v>
      </c>
      <c r="F124" t="s">
        <v>35</v>
      </c>
      <c r="G124" t="s">
        <v>36</v>
      </c>
      <c r="H124">
        <v>166683</v>
      </c>
      <c r="I124">
        <v>21596.82</v>
      </c>
      <c r="J124" t="s">
        <v>212</v>
      </c>
      <c r="K124" t="s">
        <v>30</v>
      </c>
      <c r="L124">
        <v>2022</v>
      </c>
      <c r="M124" t="s">
        <v>423</v>
      </c>
    </row>
    <row r="125" spans="1:13" x14ac:dyDescent="0.35">
      <c r="A125" t="s">
        <v>424</v>
      </c>
      <c r="B125" t="s">
        <v>425</v>
      </c>
      <c r="C125" t="s">
        <v>25</v>
      </c>
      <c r="D125" t="s">
        <v>26</v>
      </c>
      <c r="E125" t="s">
        <v>17</v>
      </c>
      <c r="F125" t="s">
        <v>42</v>
      </c>
      <c r="G125" t="s">
        <v>68</v>
      </c>
      <c r="H125">
        <v>14963</v>
      </c>
      <c r="I125">
        <v>-11872.74</v>
      </c>
      <c r="J125" t="s">
        <v>212</v>
      </c>
      <c r="K125" t="s">
        <v>53</v>
      </c>
      <c r="L125">
        <v>2021</v>
      </c>
      <c r="M125" t="s">
        <v>326</v>
      </c>
    </row>
    <row r="126" spans="1:13" x14ac:dyDescent="0.35">
      <c r="A126" t="s">
        <v>426</v>
      </c>
      <c r="B126" t="s">
        <v>427</v>
      </c>
      <c r="C126" t="s">
        <v>40</v>
      </c>
      <c r="D126" t="s">
        <v>41</v>
      </c>
      <c r="E126" t="s">
        <v>34</v>
      </c>
      <c r="F126" t="s">
        <v>58</v>
      </c>
      <c r="G126" t="s">
        <v>19</v>
      </c>
      <c r="H126">
        <v>225510</v>
      </c>
      <c r="I126">
        <v>38619.74</v>
      </c>
      <c r="J126" t="s">
        <v>47</v>
      </c>
      <c r="K126" t="s">
        <v>21</v>
      </c>
      <c r="L126">
        <v>2024</v>
      </c>
      <c r="M126" t="s">
        <v>428</v>
      </c>
    </row>
    <row r="127" spans="1:13" x14ac:dyDescent="0.35">
      <c r="A127" t="s">
        <v>429</v>
      </c>
      <c r="B127" t="s">
        <v>430</v>
      </c>
      <c r="C127" t="s">
        <v>40</v>
      </c>
      <c r="D127" t="s">
        <v>66</v>
      </c>
      <c r="E127" t="s">
        <v>34</v>
      </c>
      <c r="F127" t="s">
        <v>67</v>
      </c>
      <c r="G127" t="s">
        <v>36</v>
      </c>
      <c r="H127">
        <v>79332</v>
      </c>
      <c r="I127">
        <v>7136.78</v>
      </c>
      <c r="J127" t="s">
        <v>97</v>
      </c>
      <c r="K127" t="s">
        <v>30</v>
      </c>
      <c r="L127">
        <v>2023</v>
      </c>
      <c r="M127" t="s">
        <v>431</v>
      </c>
    </row>
    <row r="128" spans="1:13" x14ac:dyDescent="0.35">
      <c r="A128" t="s">
        <v>432</v>
      </c>
      <c r="B128" t="s">
        <v>433</v>
      </c>
      <c r="C128" t="s">
        <v>25</v>
      </c>
      <c r="D128" t="s">
        <v>149</v>
      </c>
      <c r="E128" t="s">
        <v>34</v>
      </c>
      <c r="F128" t="s">
        <v>67</v>
      </c>
      <c r="G128" t="s">
        <v>36</v>
      </c>
      <c r="H128">
        <v>62093</v>
      </c>
      <c r="I128">
        <v>7902.93</v>
      </c>
      <c r="J128" t="s">
        <v>97</v>
      </c>
      <c r="K128" t="s">
        <v>53</v>
      </c>
      <c r="L128">
        <v>2025</v>
      </c>
      <c r="M128" t="s">
        <v>434</v>
      </c>
    </row>
    <row r="129" spans="1:13" x14ac:dyDescent="0.35">
      <c r="A129" t="s">
        <v>435</v>
      </c>
      <c r="B129" t="s">
        <v>436</v>
      </c>
      <c r="C129" t="s">
        <v>76</v>
      </c>
      <c r="D129" t="s">
        <v>171</v>
      </c>
      <c r="E129" t="s">
        <v>17</v>
      </c>
      <c r="F129" t="s">
        <v>18</v>
      </c>
      <c r="G129" t="s">
        <v>19</v>
      </c>
      <c r="H129">
        <v>77124</v>
      </c>
      <c r="I129">
        <v>-64661.36</v>
      </c>
      <c r="J129" t="s">
        <v>212</v>
      </c>
      <c r="K129" t="s">
        <v>30</v>
      </c>
      <c r="L129">
        <v>2024</v>
      </c>
      <c r="M129" t="s">
        <v>216</v>
      </c>
    </row>
    <row r="130" spans="1:13" x14ac:dyDescent="0.35">
      <c r="A130" t="s">
        <v>437</v>
      </c>
      <c r="B130" t="s">
        <v>438</v>
      </c>
      <c r="C130" t="s">
        <v>40</v>
      </c>
      <c r="D130" t="s">
        <v>66</v>
      </c>
      <c r="E130" t="s">
        <v>17</v>
      </c>
      <c r="F130" t="s">
        <v>112</v>
      </c>
      <c r="G130" t="s">
        <v>19</v>
      </c>
      <c r="H130">
        <v>144204</v>
      </c>
      <c r="I130">
        <v>-106443.65</v>
      </c>
      <c r="J130" t="s">
        <v>97</v>
      </c>
      <c r="K130" t="s">
        <v>53</v>
      </c>
      <c r="L130">
        <v>2024</v>
      </c>
      <c r="M130" t="s">
        <v>439</v>
      </c>
    </row>
    <row r="131" spans="1:13" x14ac:dyDescent="0.35">
      <c r="A131" t="s">
        <v>440</v>
      </c>
      <c r="B131" t="s">
        <v>441</v>
      </c>
      <c r="C131" t="s">
        <v>76</v>
      </c>
      <c r="D131" t="s">
        <v>105</v>
      </c>
      <c r="E131" t="s">
        <v>34</v>
      </c>
      <c r="F131" t="s">
        <v>35</v>
      </c>
      <c r="G131" t="s">
        <v>78</v>
      </c>
      <c r="H131">
        <v>127018</v>
      </c>
      <c r="I131">
        <v>16949.97</v>
      </c>
      <c r="J131" t="s">
        <v>113</v>
      </c>
      <c r="K131" t="s">
        <v>53</v>
      </c>
      <c r="L131">
        <v>2022</v>
      </c>
      <c r="M131" t="s">
        <v>442</v>
      </c>
    </row>
    <row r="132" spans="1:13" x14ac:dyDescent="0.35">
      <c r="A132" t="s">
        <v>443</v>
      </c>
      <c r="B132" t="s">
        <v>444</v>
      </c>
      <c r="C132" t="s">
        <v>76</v>
      </c>
      <c r="D132" t="s">
        <v>171</v>
      </c>
      <c r="E132" t="s">
        <v>17</v>
      </c>
      <c r="F132" t="s">
        <v>72</v>
      </c>
      <c r="G132" t="s">
        <v>19</v>
      </c>
      <c r="H132">
        <v>135592</v>
      </c>
      <c r="I132">
        <v>-118387.46</v>
      </c>
      <c r="J132" t="s">
        <v>47</v>
      </c>
      <c r="K132" t="s">
        <v>48</v>
      </c>
      <c r="L132">
        <v>2025</v>
      </c>
      <c r="M132" t="s">
        <v>445</v>
      </c>
    </row>
    <row r="133" spans="1:13" x14ac:dyDescent="0.35">
      <c r="A133" t="s">
        <v>446</v>
      </c>
      <c r="B133" t="s">
        <v>447</v>
      </c>
      <c r="C133" t="s">
        <v>15</v>
      </c>
      <c r="D133" t="s">
        <v>16</v>
      </c>
      <c r="E133" t="s">
        <v>27</v>
      </c>
      <c r="F133" t="s">
        <v>28</v>
      </c>
      <c r="G133" t="s">
        <v>78</v>
      </c>
      <c r="H133">
        <v>140359</v>
      </c>
      <c r="I133">
        <v>11889.73</v>
      </c>
      <c r="J133" t="s">
        <v>20</v>
      </c>
      <c r="K133" t="s">
        <v>30</v>
      </c>
      <c r="L133">
        <v>2023</v>
      </c>
      <c r="M133" t="s">
        <v>448</v>
      </c>
    </row>
    <row r="134" spans="1:13" x14ac:dyDescent="0.35">
      <c r="A134" t="s">
        <v>449</v>
      </c>
      <c r="B134" t="s">
        <v>450</v>
      </c>
      <c r="C134" t="s">
        <v>40</v>
      </c>
      <c r="D134" t="s">
        <v>96</v>
      </c>
      <c r="E134" t="s">
        <v>34</v>
      </c>
      <c r="F134" t="s">
        <v>58</v>
      </c>
      <c r="G134" t="s">
        <v>68</v>
      </c>
      <c r="H134">
        <v>252772</v>
      </c>
      <c r="I134">
        <v>18694.25</v>
      </c>
      <c r="J134" t="s">
        <v>29</v>
      </c>
      <c r="K134" t="s">
        <v>48</v>
      </c>
      <c r="L134">
        <v>2025</v>
      </c>
      <c r="M134" t="s">
        <v>451</v>
      </c>
    </row>
    <row r="135" spans="1:13" x14ac:dyDescent="0.35">
      <c r="A135" t="s">
        <v>452</v>
      </c>
      <c r="B135" t="s">
        <v>453</v>
      </c>
      <c r="C135" t="s">
        <v>15</v>
      </c>
      <c r="D135" t="s">
        <v>46</v>
      </c>
      <c r="E135" t="s">
        <v>34</v>
      </c>
      <c r="F135" t="s">
        <v>58</v>
      </c>
      <c r="G135" t="s">
        <v>36</v>
      </c>
      <c r="H135">
        <v>179882</v>
      </c>
      <c r="I135">
        <v>34663.06</v>
      </c>
      <c r="J135" t="s">
        <v>79</v>
      </c>
      <c r="K135" t="s">
        <v>53</v>
      </c>
      <c r="L135">
        <v>2023</v>
      </c>
      <c r="M135" t="s">
        <v>454</v>
      </c>
    </row>
    <row r="136" spans="1:13" x14ac:dyDescent="0.35">
      <c r="A136" t="s">
        <v>455</v>
      </c>
      <c r="B136" t="s">
        <v>456</v>
      </c>
      <c r="C136" t="s">
        <v>15</v>
      </c>
      <c r="D136" t="s">
        <v>46</v>
      </c>
      <c r="E136" t="s">
        <v>17</v>
      </c>
      <c r="F136" t="s">
        <v>72</v>
      </c>
      <c r="G136" t="s">
        <v>68</v>
      </c>
      <c r="H136">
        <v>16281</v>
      </c>
      <c r="I136">
        <v>-11852.31</v>
      </c>
      <c r="J136" t="s">
        <v>20</v>
      </c>
      <c r="K136" t="s">
        <v>53</v>
      </c>
      <c r="L136">
        <v>2022</v>
      </c>
      <c r="M136" t="s">
        <v>457</v>
      </c>
    </row>
    <row r="137" spans="1:13" x14ac:dyDescent="0.35">
      <c r="A137" t="s">
        <v>458</v>
      </c>
      <c r="B137" t="s">
        <v>148</v>
      </c>
      <c r="C137" t="s">
        <v>76</v>
      </c>
      <c r="D137" t="s">
        <v>105</v>
      </c>
      <c r="E137" t="s">
        <v>17</v>
      </c>
      <c r="F137" t="s">
        <v>72</v>
      </c>
      <c r="G137" t="s">
        <v>19</v>
      </c>
      <c r="H137">
        <v>49190</v>
      </c>
      <c r="I137">
        <v>-40877.769999999997</v>
      </c>
      <c r="J137" t="s">
        <v>59</v>
      </c>
      <c r="K137" t="s">
        <v>21</v>
      </c>
      <c r="L137">
        <v>2024</v>
      </c>
      <c r="M137" t="s">
        <v>459</v>
      </c>
    </row>
    <row r="138" spans="1:13" x14ac:dyDescent="0.35">
      <c r="A138" t="s">
        <v>460</v>
      </c>
      <c r="B138" t="s">
        <v>461</v>
      </c>
      <c r="C138" t="s">
        <v>76</v>
      </c>
      <c r="D138" t="s">
        <v>171</v>
      </c>
      <c r="E138" t="s">
        <v>17</v>
      </c>
      <c r="F138" t="s">
        <v>18</v>
      </c>
      <c r="G138" t="s">
        <v>19</v>
      </c>
      <c r="H138">
        <v>49081</v>
      </c>
      <c r="I138">
        <v>-47177.47</v>
      </c>
      <c r="J138" t="s">
        <v>97</v>
      </c>
      <c r="K138" t="s">
        <v>21</v>
      </c>
      <c r="L138">
        <v>2025</v>
      </c>
      <c r="M138" t="s">
        <v>462</v>
      </c>
    </row>
    <row r="139" spans="1:13" x14ac:dyDescent="0.35">
      <c r="A139" t="s">
        <v>463</v>
      </c>
      <c r="B139" t="s">
        <v>464</v>
      </c>
      <c r="C139" t="s">
        <v>25</v>
      </c>
      <c r="D139" t="s">
        <v>149</v>
      </c>
      <c r="E139" t="s">
        <v>17</v>
      </c>
      <c r="F139" t="s">
        <v>72</v>
      </c>
      <c r="G139" t="s">
        <v>36</v>
      </c>
      <c r="H139">
        <v>50026</v>
      </c>
      <c r="I139">
        <v>-43471.92</v>
      </c>
      <c r="J139" t="s">
        <v>29</v>
      </c>
      <c r="K139" t="s">
        <v>48</v>
      </c>
      <c r="L139">
        <v>2021</v>
      </c>
      <c r="M139" t="s">
        <v>465</v>
      </c>
    </row>
    <row r="140" spans="1:13" x14ac:dyDescent="0.35">
      <c r="A140" t="s">
        <v>466</v>
      </c>
      <c r="B140" t="s">
        <v>467</v>
      </c>
      <c r="C140" t="s">
        <v>40</v>
      </c>
      <c r="D140" t="s">
        <v>41</v>
      </c>
      <c r="E140" t="s">
        <v>17</v>
      </c>
      <c r="F140" t="s">
        <v>18</v>
      </c>
      <c r="G140" t="s">
        <v>36</v>
      </c>
      <c r="H140">
        <v>65685</v>
      </c>
      <c r="I140">
        <v>-58882.02</v>
      </c>
      <c r="J140" t="s">
        <v>29</v>
      </c>
      <c r="K140" t="s">
        <v>48</v>
      </c>
      <c r="L140">
        <v>2024</v>
      </c>
      <c r="M140" t="s">
        <v>347</v>
      </c>
    </row>
    <row r="141" spans="1:13" x14ac:dyDescent="0.35">
      <c r="A141" t="s">
        <v>468</v>
      </c>
      <c r="B141" t="s">
        <v>469</v>
      </c>
      <c r="C141" t="s">
        <v>40</v>
      </c>
      <c r="D141" t="s">
        <v>41</v>
      </c>
      <c r="E141" t="s">
        <v>17</v>
      </c>
      <c r="F141" t="s">
        <v>18</v>
      </c>
      <c r="G141" t="s">
        <v>68</v>
      </c>
      <c r="H141">
        <v>168854</v>
      </c>
      <c r="I141">
        <v>-129292.58</v>
      </c>
      <c r="J141" t="s">
        <v>59</v>
      </c>
      <c r="K141" t="s">
        <v>48</v>
      </c>
      <c r="L141">
        <v>2023</v>
      </c>
      <c r="M141" t="s">
        <v>470</v>
      </c>
    </row>
    <row r="142" spans="1:13" x14ac:dyDescent="0.35">
      <c r="A142" t="s">
        <v>471</v>
      </c>
      <c r="B142" t="s">
        <v>472</v>
      </c>
      <c r="C142" t="s">
        <v>40</v>
      </c>
      <c r="D142" t="s">
        <v>66</v>
      </c>
      <c r="E142" t="s">
        <v>17</v>
      </c>
      <c r="F142" t="s">
        <v>112</v>
      </c>
      <c r="G142" t="s">
        <v>36</v>
      </c>
      <c r="H142">
        <v>154230</v>
      </c>
      <c r="I142">
        <v>-148819.03</v>
      </c>
      <c r="J142" t="s">
        <v>79</v>
      </c>
      <c r="K142" t="s">
        <v>48</v>
      </c>
      <c r="L142">
        <v>2025</v>
      </c>
      <c r="M142" t="s">
        <v>473</v>
      </c>
    </row>
    <row r="143" spans="1:13" x14ac:dyDescent="0.35">
      <c r="A143" t="s">
        <v>474</v>
      </c>
      <c r="B143" t="s">
        <v>475</v>
      </c>
      <c r="C143" t="s">
        <v>15</v>
      </c>
      <c r="D143" t="s">
        <v>16</v>
      </c>
      <c r="E143" t="s">
        <v>17</v>
      </c>
      <c r="F143" t="s">
        <v>42</v>
      </c>
      <c r="G143" t="s">
        <v>36</v>
      </c>
      <c r="H143">
        <v>85850</v>
      </c>
      <c r="I143">
        <v>-74733.179999999993</v>
      </c>
      <c r="J143" t="s">
        <v>212</v>
      </c>
      <c r="K143" t="s">
        <v>53</v>
      </c>
      <c r="L143">
        <v>2024</v>
      </c>
      <c r="M143" t="s">
        <v>476</v>
      </c>
    </row>
    <row r="144" spans="1:13" x14ac:dyDescent="0.35">
      <c r="A144" t="s">
        <v>477</v>
      </c>
      <c r="B144" t="s">
        <v>478</v>
      </c>
      <c r="C144" t="s">
        <v>25</v>
      </c>
      <c r="D144" t="s">
        <v>149</v>
      </c>
      <c r="E144" t="s">
        <v>17</v>
      </c>
      <c r="F144" t="s">
        <v>112</v>
      </c>
      <c r="G144" t="s">
        <v>36</v>
      </c>
      <c r="H144">
        <v>165513</v>
      </c>
      <c r="I144">
        <v>-153331.94</v>
      </c>
      <c r="J144" t="s">
        <v>79</v>
      </c>
      <c r="K144" t="s">
        <v>21</v>
      </c>
      <c r="L144">
        <v>2024</v>
      </c>
      <c r="M144" t="s">
        <v>479</v>
      </c>
    </row>
    <row r="145" spans="1:13" x14ac:dyDescent="0.35">
      <c r="A145" t="s">
        <v>480</v>
      </c>
      <c r="B145" t="s">
        <v>481</v>
      </c>
      <c r="C145" t="s">
        <v>25</v>
      </c>
      <c r="D145" t="s">
        <v>26</v>
      </c>
      <c r="E145" t="s">
        <v>17</v>
      </c>
      <c r="F145" t="s">
        <v>72</v>
      </c>
      <c r="G145" t="s">
        <v>68</v>
      </c>
      <c r="H145">
        <v>96235</v>
      </c>
      <c r="I145">
        <v>-67411.12</v>
      </c>
      <c r="J145" t="s">
        <v>20</v>
      </c>
      <c r="K145" t="s">
        <v>53</v>
      </c>
      <c r="L145">
        <v>2024</v>
      </c>
      <c r="M145" t="s">
        <v>150</v>
      </c>
    </row>
    <row r="146" spans="1:13" x14ac:dyDescent="0.35">
      <c r="A146" t="s">
        <v>482</v>
      </c>
      <c r="B146" t="s">
        <v>483</v>
      </c>
      <c r="C146" t="s">
        <v>15</v>
      </c>
      <c r="D146" t="s">
        <v>46</v>
      </c>
      <c r="E146" t="s">
        <v>17</v>
      </c>
      <c r="F146" t="s">
        <v>72</v>
      </c>
      <c r="G146" t="s">
        <v>36</v>
      </c>
      <c r="H146">
        <v>163739</v>
      </c>
      <c r="I146">
        <v>-118915.93</v>
      </c>
      <c r="J146" t="s">
        <v>59</v>
      </c>
      <c r="K146" t="s">
        <v>48</v>
      </c>
      <c r="L146">
        <v>2021</v>
      </c>
      <c r="M146" t="s">
        <v>484</v>
      </c>
    </row>
    <row r="147" spans="1:13" x14ac:dyDescent="0.35">
      <c r="A147" t="s">
        <v>485</v>
      </c>
      <c r="B147" t="s">
        <v>486</v>
      </c>
      <c r="C147" t="s">
        <v>25</v>
      </c>
      <c r="D147" t="s">
        <v>26</v>
      </c>
      <c r="E147" t="s">
        <v>17</v>
      </c>
      <c r="F147" t="s">
        <v>52</v>
      </c>
      <c r="G147" t="s">
        <v>36</v>
      </c>
      <c r="H147">
        <v>90141</v>
      </c>
      <c r="I147">
        <v>-63528.71</v>
      </c>
      <c r="J147" t="s">
        <v>113</v>
      </c>
      <c r="K147" t="s">
        <v>53</v>
      </c>
      <c r="L147">
        <v>2023</v>
      </c>
      <c r="M147" t="s">
        <v>487</v>
      </c>
    </row>
    <row r="148" spans="1:13" x14ac:dyDescent="0.35">
      <c r="A148" t="s">
        <v>488</v>
      </c>
      <c r="B148" t="s">
        <v>489</v>
      </c>
      <c r="C148" t="s">
        <v>15</v>
      </c>
      <c r="D148" t="s">
        <v>16</v>
      </c>
      <c r="E148" t="s">
        <v>34</v>
      </c>
      <c r="F148" t="s">
        <v>35</v>
      </c>
      <c r="G148" t="s">
        <v>36</v>
      </c>
      <c r="H148">
        <v>201142</v>
      </c>
      <c r="I148">
        <v>36671.449999999997</v>
      </c>
      <c r="J148" t="s">
        <v>20</v>
      </c>
      <c r="K148" t="s">
        <v>21</v>
      </c>
      <c r="L148">
        <v>2023</v>
      </c>
      <c r="M148" t="s">
        <v>288</v>
      </c>
    </row>
    <row r="149" spans="1:13" x14ac:dyDescent="0.35">
      <c r="A149" t="s">
        <v>490</v>
      </c>
      <c r="B149" t="s">
        <v>491</v>
      </c>
      <c r="C149" t="s">
        <v>76</v>
      </c>
      <c r="D149" t="s">
        <v>77</v>
      </c>
      <c r="E149" t="s">
        <v>34</v>
      </c>
      <c r="F149" t="s">
        <v>58</v>
      </c>
      <c r="G149" t="s">
        <v>36</v>
      </c>
      <c r="H149">
        <v>119627</v>
      </c>
      <c r="I149">
        <v>14878.01</v>
      </c>
      <c r="J149" t="s">
        <v>20</v>
      </c>
      <c r="K149" t="s">
        <v>48</v>
      </c>
      <c r="L149">
        <v>2022</v>
      </c>
      <c r="M149" t="s">
        <v>129</v>
      </c>
    </row>
    <row r="150" spans="1:13" x14ac:dyDescent="0.35">
      <c r="A150" t="s">
        <v>492</v>
      </c>
      <c r="B150" t="s">
        <v>493</v>
      </c>
      <c r="C150" t="s">
        <v>76</v>
      </c>
      <c r="D150" t="s">
        <v>105</v>
      </c>
      <c r="E150" t="s">
        <v>17</v>
      </c>
      <c r="F150" t="s">
        <v>52</v>
      </c>
      <c r="G150" t="s">
        <v>78</v>
      </c>
      <c r="H150">
        <v>15775</v>
      </c>
      <c r="I150">
        <v>-15740.91</v>
      </c>
      <c r="J150" t="s">
        <v>29</v>
      </c>
      <c r="K150" t="s">
        <v>21</v>
      </c>
      <c r="L150">
        <v>2025</v>
      </c>
      <c r="M150" t="s">
        <v>494</v>
      </c>
    </row>
    <row r="151" spans="1:13" x14ac:dyDescent="0.35">
      <c r="A151" t="s">
        <v>495</v>
      </c>
      <c r="B151" t="s">
        <v>496</v>
      </c>
      <c r="C151" t="s">
        <v>15</v>
      </c>
      <c r="D151" t="s">
        <v>57</v>
      </c>
      <c r="E151" t="s">
        <v>34</v>
      </c>
      <c r="F151" t="s">
        <v>101</v>
      </c>
      <c r="G151" t="s">
        <v>19</v>
      </c>
      <c r="H151">
        <v>92989</v>
      </c>
      <c r="I151">
        <v>14405.56</v>
      </c>
      <c r="J151" t="s">
        <v>212</v>
      </c>
      <c r="K151" t="s">
        <v>21</v>
      </c>
      <c r="L151">
        <v>2023</v>
      </c>
      <c r="M151" t="s">
        <v>497</v>
      </c>
    </row>
    <row r="152" spans="1:13" x14ac:dyDescent="0.35">
      <c r="A152" t="s">
        <v>498</v>
      </c>
      <c r="B152" t="s">
        <v>499</v>
      </c>
      <c r="C152" t="s">
        <v>40</v>
      </c>
      <c r="D152" t="s">
        <v>66</v>
      </c>
      <c r="E152" t="s">
        <v>17</v>
      </c>
      <c r="F152" t="s">
        <v>72</v>
      </c>
      <c r="G152" t="s">
        <v>19</v>
      </c>
      <c r="H152">
        <v>47814</v>
      </c>
      <c r="I152">
        <v>-34195.879999999997</v>
      </c>
      <c r="J152" t="s">
        <v>29</v>
      </c>
      <c r="K152" t="s">
        <v>53</v>
      </c>
      <c r="L152">
        <v>2025</v>
      </c>
      <c r="M152" t="s">
        <v>500</v>
      </c>
    </row>
    <row r="153" spans="1:13" x14ac:dyDescent="0.35">
      <c r="A153" t="s">
        <v>501</v>
      </c>
      <c r="B153" t="s">
        <v>502</v>
      </c>
      <c r="C153" t="s">
        <v>76</v>
      </c>
      <c r="D153" t="s">
        <v>105</v>
      </c>
      <c r="E153" t="s">
        <v>27</v>
      </c>
      <c r="F153" t="s">
        <v>379</v>
      </c>
      <c r="G153" t="s">
        <v>36</v>
      </c>
      <c r="H153">
        <v>750824</v>
      </c>
      <c r="I153">
        <v>87745.27</v>
      </c>
      <c r="J153" t="s">
        <v>97</v>
      </c>
      <c r="K153" t="s">
        <v>21</v>
      </c>
      <c r="L153">
        <v>2025</v>
      </c>
      <c r="M153" t="s">
        <v>503</v>
      </c>
    </row>
    <row r="154" spans="1:13" x14ac:dyDescent="0.35">
      <c r="A154" t="s">
        <v>504</v>
      </c>
      <c r="B154" t="s">
        <v>65</v>
      </c>
      <c r="C154" t="s">
        <v>25</v>
      </c>
      <c r="D154" t="s">
        <v>149</v>
      </c>
      <c r="E154" t="s">
        <v>27</v>
      </c>
      <c r="F154" t="s">
        <v>28</v>
      </c>
      <c r="G154" t="s">
        <v>19</v>
      </c>
      <c r="H154">
        <v>143547</v>
      </c>
      <c r="I154">
        <v>-5834.29</v>
      </c>
      <c r="J154" t="s">
        <v>97</v>
      </c>
      <c r="K154" t="s">
        <v>21</v>
      </c>
      <c r="L154">
        <v>2025</v>
      </c>
      <c r="M154" t="s">
        <v>505</v>
      </c>
    </row>
    <row r="155" spans="1:13" x14ac:dyDescent="0.35">
      <c r="A155" t="s">
        <v>506</v>
      </c>
      <c r="B155" t="s">
        <v>507</v>
      </c>
      <c r="C155" t="s">
        <v>40</v>
      </c>
      <c r="D155" t="s">
        <v>96</v>
      </c>
      <c r="E155" t="s">
        <v>34</v>
      </c>
      <c r="F155" t="s">
        <v>35</v>
      </c>
      <c r="G155" t="s">
        <v>78</v>
      </c>
      <c r="H155">
        <v>42342</v>
      </c>
      <c r="I155">
        <v>8745.5400000000009</v>
      </c>
      <c r="J155" t="s">
        <v>113</v>
      </c>
      <c r="K155" t="s">
        <v>48</v>
      </c>
      <c r="L155">
        <v>2022</v>
      </c>
      <c r="M155" t="s">
        <v>508</v>
      </c>
    </row>
    <row r="156" spans="1:13" x14ac:dyDescent="0.35">
      <c r="A156" t="s">
        <v>509</v>
      </c>
      <c r="B156" t="s">
        <v>510</v>
      </c>
      <c r="C156" t="s">
        <v>15</v>
      </c>
      <c r="D156" t="s">
        <v>16</v>
      </c>
      <c r="E156" t="s">
        <v>34</v>
      </c>
      <c r="F156" t="s">
        <v>67</v>
      </c>
      <c r="G156" t="s">
        <v>78</v>
      </c>
      <c r="H156">
        <v>78499</v>
      </c>
      <c r="I156">
        <v>13586.79</v>
      </c>
      <c r="J156" t="s">
        <v>59</v>
      </c>
      <c r="K156" t="s">
        <v>21</v>
      </c>
      <c r="L156">
        <v>2022</v>
      </c>
      <c r="M156" t="s">
        <v>511</v>
      </c>
    </row>
    <row r="157" spans="1:13" x14ac:dyDescent="0.35">
      <c r="A157" t="s">
        <v>512</v>
      </c>
      <c r="B157" t="s">
        <v>513</v>
      </c>
      <c r="C157" t="s">
        <v>76</v>
      </c>
      <c r="D157" t="s">
        <v>77</v>
      </c>
      <c r="E157" t="s">
        <v>34</v>
      </c>
      <c r="F157" t="s">
        <v>35</v>
      </c>
      <c r="G157" t="s">
        <v>19</v>
      </c>
      <c r="H157">
        <v>279921</v>
      </c>
      <c r="I157">
        <v>69107.039999999994</v>
      </c>
      <c r="J157" t="s">
        <v>59</v>
      </c>
      <c r="K157" t="s">
        <v>53</v>
      </c>
      <c r="L157">
        <v>2023</v>
      </c>
      <c r="M157" t="s">
        <v>514</v>
      </c>
    </row>
    <row r="158" spans="1:13" x14ac:dyDescent="0.35">
      <c r="A158" t="s">
        <v>515</v>
      </c>
      <c r="B158" t="s">
        <v>516</v>
      </c>
      <c r="C158" t="s">
        <v>40</v>
      </c>
      <c r="D158" t="s">
        <v>96</v>
      </c>
      <c r="E158" t="s">
        <v>34</v>
      </c>
      <c r="F158" t="s">
        <v>58</v>
      </c>
      <c r="G158" t="s">
        <v>36</v>
      </c>
      <c r="H158">
        <v>150150</v>
      </c>
      <c r="I158">
        <v>11182.83</v>
      </c>
      <c r="J158" t="s">
        <v>212</v>
      </c>
      <c r="K158" t="s">
        <v>21</v>
      </c>
      <c r="L158">
        <v>2022</v>
      </c>
      <c r="M158" t="s">
        <v>517</v>
      </c>
    </row>
    <row r="159" spans="1:13" x14ac:dyDescent="0.35">
      <c r="A159" t="s">
        <v>518</v>
      </c>
      <c r="B159" t="s">
        <v>519</v>
      </c>
      <c r="C159" t="s">
        <v>40</v>
      </c>
      <c r="D159" t="s">
        <v>41</v>
      </c>
      <c r="E159" t="s">
        <v>17</v>
      </c>
      <c r="F159" t="s">
        <v>112</v>
      </c>
      <c r="G159" t="s">
        <v>78</v>
      </c>
      <c r="H159">
        <v>194397</v>
      </c>
      <c r="I159">
        <v>-167582.26999999999</v>
      </c>
      <c r="J159" t="s">
        <v>97</v>
      </c>
      <c r="K159" t="s">
        <v>53</v>
      </c>
      <c r="L159">
        <v>2022</v>
      </c>
      <c r="M159" t="s">
        <v>288</v>
      </c>
    </row>
    <row r="160" spans="1:13" x14ac:dyDescent="0.35">
      <c r="A160" t="s">
        <v>520</v>
      </c>
      <c r="B160" t="s">
        <v>521</v>
      </c>
      <c r="C160" t="s">
        <v>15</v>
      </c>
      <c r="D160" t="s">
        <v>57</v>
      </c>
      <c r="E160" t="s">
        <v>17</v>
      </c>
      <c r="F160" t="s">
        <v>72</v>
      </c>
      <c r="G160" t="s">
        <v>36</v>
      </c>
      <c r="H160">
        <v>94327</v>
      </c>
      <c r="I160">
        <v>-79232.73</v>
      </c>
      <c r="J160" t="s">
        <v>59</v>
      </c>
      <c r="K160" t="s">
        <v>48</v>
      </c>
      <c r="L160">
        <v>2021</v>
      </c>
      <c r="M160" t="s">
        <v>522</v>
      </c>
    </row>
    <row r="161" spans="1:13" x14ac:dyDescent="0.35">
      <c r="A161" t="s">
        <v>523</v>
      </c>
      <c r="B161" t="s">
        <v>524</v>
      </c>
      <c r="C161" t="s">
        <v>15</v>
      </c>
      <c r="D161" t="s">
        <v>16</v>
      </c>
      <c r="E161" t="s">
        <v>34</v>
      </c>
      <c r="F161" t="s">
        <v>101</v>
      </c>
      <c r="G161" t="s">
        <v>78</v>
      </c>
      <c r="H161">
        <v>170862</v>
      </c>
      <c r="I161">
        <v>19206.560000000001</v>
      </c>
      <c r="J161" t="s">
        <v>20</v>
      </c>
      <c r="K161" t="s">
        <v>53</v>
      </c>
      <c r="L161">
        <v>2023</v>
      </c>
      <c r="M161" t="s">
        <v>525</v>
      </c>
    </row>
    <row r="162" spans="1:13" x14ac:dyDescent="0.35">
      <c r="A162" t="s">
        <v>526</v>
      </c>
      <c r="B162" t="s">
        <v>527</v>
      </c>
      <c r="C162" t="s">
        <v>25</v>
      </c>
      <c r="D162" t="s">
        <v>26</v>
      </c>
      <c r="E162" t="s">
        <v>17</v>
      </c>
      <c r="F162" t="s">
        <v>112</v>
      </c>
      <c r="G162" t="s">
        <v>19</v>
      </c>
      <c r="H162">
        <v>93433</v>
      </c>
      <c r="I162">
        <v>-79898.13</v>
      </c>
      <c r="J162" t="s">
        <v>20</v>
      </c>
      <c r="K162" t="s">
        <v>53</v>
      </c>
      <c r="L162">
        <v>2024</v>
      </c>
      <c r="M162" t="s">
        <v>528</v>
      </c>
    </row>
    <row r="163" spans="1:13" x14ac:dyDescent="0.35">
      <c r="A163" t="s">
        <v>529</v>
      </c>
      <c r="B163" t="s">
        <v>530</v>
      </c>
      <c r="C163" t="s">
        <v>15</v>
      </c>
      <c r="D163" t="s">
        <v>46</v>
      </c>
      <c r="E163" t="s">
        <v>34</v>
      </c>
      <c r="F163" t="s">
        <v>58</v>
      </c>
      <c r="G163" t="s">
        <v>19</v>
      </c>
      <c r="H163">
        <v>72491</v>
      </c>
      <c r="I163">
        <v>8846.58</v>
      </c>
      <c r="J163" t="s">
        <v>20</v>
      </c>
      <c r="K163" t="s">
        <v>30</v>
      </c>
      <c r="L163">
        <v>2021</v>
      </c>
      <c r="M163" t="s">
        <v>344</v>
      </c>
    </row>
    <row r="164" spans="1:13" x14ac:dyDescent="0.35">
      <c r="A164" t="s">
        <v>531</v>
      </c>
      <c r="B164" t="s">
        <v>532</v>
      </c>
      <c r="C164" t="s">
        <v>25</v>
      </c>
      <c r="D164" t="s">
        <v>26</v>
      </c>
      <c r="E164" t="s">
        <v>138</v>
      </c>
      <c r="F164" t="s">
        <v>139</v>
      </c>
      <c r="G164" t="s">
        <v>19</v>
      </c>
      <c r="H164">
        <v>169571</v>
      </c>
      <c r="I164">
        <v>13453.31</v>
      </c>
      <c r="J164" t="s">
        <v>59</v>
      </c>
      <c r="K164" t="s">
        <v>48</v>
      </c>
      <c r="L164">
        <v>2025</v>
      </c>
      <c r="M164" t="s">
        <v>533</v>
      </c>
    </row>
    <row r="165" spans="1:13" x14ac:dyDescent="0.35">
      <c r="A165" t="s">
        <v>534</v>
      </c>
      <c r="B165" t="s">
        <v>535</v>
      </c>
      <c r="C165" t="s">
        <v>15</v>
      </c>
      <c r="D165" t="s">
        <v>46</v>
      </c>
      <c r="E165" t="s">
        <v>34</v>
      </c>
      <c r="F165" t="s">
        <v>58</v>
      </c>
      <c r="G165" t="s">
        <v>36</v>
      </c>
      <c r="H165">
        <v>47440</v>
      </c>
      <c r="I165">
        <v>8703.4</v>
      </c>
      <c r="J165" t="s">
        <v>113</v>
      </c>
      <c r="K165" t="s">
        <v>48</v>
      </c>
      <c r="L165">
        <v>2024</v>
      </c>
      <c r="M165" t="s">
        <v>536</v>
      </c>
    </row>
    <row r="166" spans="1:13" x14ac:dyDescent="0.35">
      <c r="A166" t="s">
        <v>537</v>
      </c>
      <c r="B166" t="s">
        <v>538</v>
      </c>
      <c r="C166" t="s">
        <v>40</v>
      </c>
      <c r="D166" t="s">
        <v>66</v>
      </c>
      <c r="E166" t="s">
        <v>17</v>
      </c>
      <c r="F166" t="s">
        <v>52</v>
      </c>
      <c r="G166" t="s">
        <v>36</v>
      </c>
      <c r="H166">
        <v>34159</v>
      </c>
      <c r="I166">
        <v>-24410.6</v>
      </c>
      <c r="J166" t="s">
        <v>47</v>
      </c>
      <c r="K166" t="s">
        <v>53</v>
      </c>
      <c r="L166">
        <v>2024</v>
      </c>
      <c r="M166" t="s">
        <v>539</v>
      </c>
    </row>
    <row r="167" spans="1:13" x14ac:dyDescent="0.35">
      <c r="A167" t="s">
        <v>540</v>
      </c>
      <c r="B167" t="s">
        <v>524</v>
      </c>
      <c r="C167" t="s">
        <v>40</v>
      </c>
      <c r="D167" t="s">
        <v>41</v>
      </c>
      <c r="E167" t="s">
        <v>17</v>
      </c>
      <c r="F167" t="s">
        <v>18</v>
      </c>
      <c r="G167" t="s">
        <v>78</v>
      </c>
      <c r="H167">
        <v>52326</v>
      </c>
      <c r="I167">
        <v>-45497.09</v>
      </c>
      <c r="J167" t="s">
        <v>97</v>
      </c>
      <c r="K167" t="s">
        <v>53</v>
      </c>
      <c r="L167">
        <v>2023</v>
      </c>
      <c r="M167" t="s">
        <v>541</v>
      </c>
    </row>
    <row r="168" spans="1:13" x14ac:dyDescent="0.35">
      <c r="A168" t="s">
        <v>542</v>
      </c>
      <c r="B168" t="s">
        <v>328</v>
      </c>
      <c r="C168" t="s">
        <v>25</v>
      </c>
      <c r="D168" t="s">
        <v>149</v>
      </c>
      <c r="E168" t="s">
        <v>17</v>
      </c>
      <c r="F168" t="s">
        <v>18</v>
      </c>
      <c r="G168" t="s">
        <v>36</v>
      </c>
      <c r="H168">
        <v>92209</v>
      </c>
      <c r="I168">
        <v>-85708.21</v>
      </c>
      <c r="J168" t="s">
        <v>20</v>
      </c>
      <c r="K168" t="s">
        <v>21</v>
      </c>
      <c r="L168">
        <v>2024</v>
      </c>
      <c r="M168" t="s">
        <v>543</v>
      </c>
    </row>
    <row r="169" spans="1:13" x14ac:dyDescent="0.35">
      <c r="A169" t="s">
        <v>544</v>
      </c>
      <c r="B169" t="s">
        <v>545</v>
      </c>
      <c r="C169" t="s">
        <v>15</v>
      </c>
      <c r="D169" t="s">
        <v>57</v>
      </c>
      <c r="E169" t="s">
        <v>17</v>
      </c>
      <c r="F169" t="s">
        <v>42</v>
      </c>
      <c r="G169" t="s">
        <v>19</v>
      </c>
      <c r="H169">
        <v>169953</v>
      </c>
      <c r="I169">
        <v>-126504.31</v>
      </c>
      <c r="J169" t="s">
        <v>113</v>
      </c>
      <c r="K169" t="s">
        <v>48</v>
      </c>
      <c r="L169">
        <v>2022</v>
      </c>
      <c r="M169" t="s">
        <v>546</v>
      </c>
    </row>
    <row r="170" spans="1:13" x14ac:dyDescent="0.35">
      <c r="A170" t="s">
        <v>547</v>
      </c>
      <c r="B170" t="s">
        <v>548</v>
      </c>
      <c r="C170" t="s">
        <v>15</v>
      </c>
      <c r="D170" t="s">
        <v>57</v>
      </c>
      <c r="E170" t="s">
        <v>34</v>
      </c>
      <c r="F170" t="s">
        <v>58</v>
      </c>
      <c r="G170" t="s">
        <v>68</v>
      </c>
      <c r="H170">
        <v>233382</v>
      </c>
      <c r="I170">
        <v>45232.89</v>
      </c>
      <c r="J170" t="s">
        <v>212</v>
      </c>
      <c r="K170" t="s">
        <v>30</v>
      </c>
      <c r="L170">
        <v>2025</v>
      </c>
      <c r="M170" t="s">
        <v>549</v>
      </c>
    </row>
    <row r="171" spans="1:13" x14ac:dyDescent="0.35">
      <c r="A171" t="s">
        <v>550</v>
      </c>
      <c r="B171" t="s">
        <v>551</v>
      </c>
      <c r="C171" t="s">
        <v>40</v>
      </c>
      <c r="D171" t="s">
        <v>66</v>
      </c>
      <c r="E171" t="s">
        <v>17</v>
      </c>
      <c r="F171" t="s">
        <v>72</v>
      </c>
      <c r="G171" t="s">
        <v>68</v>
      </c>
      <c r="H171">
        <v>23264</v>
      </c>
      <c r="I171">
        <v>-21643.03</v>
      </c>
      <c r="J171" t="s">
        <v>113</v>
      </c>
      <c r="K171" t="s">
        <v>48</v>
      </c>
      <c r="L171">
        <v>2024</v>
      </c>
      <c r="M171" t="s">
        <v>552</v>
      </c>
    </row>
    <row r="172" spans="1:13" x14ac:dyDescent="0.35">
      <c r="A172" t="s">
        <v>553</v>
      </c>
      <c r="B172" t="s">
        <v>554</v>
      </c>
      <c r="C172" t="s">
        <v>15</v>
      </c>
      <c r="D172" t="s">
        <v>57</v>
      </c>
      <c r="E172" t="s">
        <v>17</v>
      </c>
      <c r="F172" t="s">
        <v>42</v>
      </c>
      <c r="G172" t="s">
        <v>19</v>
      </c>
      <c r="H172">
        <v>191186</v>
      </c>
      <c r="I172">
        <v>-141362.76999999999</v>
      </c>
      <c r="J172" t="s">
        <v>47</v>
      </c>
      <c r="K172" t="s">
        <v>48</v>
      </c>
      <c r="L172">
        <v>2023</v>
      </c>
      <c r="M172" t="s">
        <v>555</v>
      </c>
    </row>
    <row r="173" spans="1:13" x14ac:dyDescent="0.35">
      <c r="A173" t="s">
        <v>556</v>
      </c>
      <c r="B173" t="s">
        <v>453</v>
      </c>
      <c r="C173" t="s">
        <v>76</v>
      </c>
      <c r="D173" t="s">
        <v>77</v>
      </c>
      <c r="E173" t="s">
        <v>17</v>
      </c>
      <c r="F173" t="s">
        <v>72</v>
      </c>
      <c r="G173" t="s">
        <v>78</v>
      </c>
      <c r="H173">
        <v>108418</v>
      </c>
      <c r="I173">
        <v>-84222.16</v>
      </c>
      <c r="J173" t="s">
        <v>29</v>
      </c>
      <c r="K173" t="s">
        <v>53</v>
      </c>
      <c r="L173">
        <v>2023</v>
      </c>
      <c r="M173" t="s">
        <v>557</v>
      </c>
    </row>
    <row r="174" spans="1:13" x14ac:dyDescent="0.35">
      <c r="A174" t="s">
        <v>558</v>
      </c>
      <c r="B174" t="s">
        <v>441</v>
      </c>
      <c r="C174" t="s">
        <v>40</v>
      </c>
      <c r="D174" t="s">
        <v>66</v>
      </c>
      <c r="E174" t="s">
        <v>27</v>
      </c>
      <c r="F174" t="s">
        <v>379</v>
      </c>
      <c r="G174" t="s">
        <v>19</v>
      </c>
      <c r="H174">
        <v>628587</v>
      </c>
      <c r="I174">
        <v>79010.02</v>
      </c>
      <c r="J174" t="s">
        <v>59</v>
      </c>
      <c r="K174" t="s">
        <v>53</v>
      </c>
      <c r="L174">
        <v>2022</v>
      </c>
      <c r="M174" t="s">
        <v>559</v>
      </c>
    </row>
    <row r="175" spans="1:13" x14ac:dyDescent="0.35">
      <c r="A175" t="s">
        <v>560</v>
      </c>
      <c r="B175" t="s">
        <v>561</v>
      </c>
      <c r="C175" t="s">
        <v>76</v>
      </c>
      <c r="D175" t="s">
        <v>171</v>
      </c>
      <c r="E175" t="s">
        <v>17</v>
      </c>
      <c r="F175" t="s">
        <v>72</v>
      </c>
      <c r="G175" t="s">
        <v>36</v>
      </c>
      <c r="H175">
        <v>185018</v>
      </c>
      <c r="I175">
        <v>-153463.92000000001</v>
      </c>
      <c r="J175" t="s">
        <v>97</v>
      </c>
      <c r="K175" t="s">
        <v>48</v>
      </c>
      <c r="L175">
        <v>2021</v>
      </c>
      <c r="M175" t="s">
        <v>562</v>
      </c>
    </row>
    <row r="176" spans="1:13" x14ac:dyDescent="0.35">
      <c r="A176" t="s">
        <v>563</v>
      </c>
      <c r="B176" t="s">
        <v>564</v>
      </c>
      <c r="C176" t="s">
        <v>25</v>
      </c>
      <c r="D176" t="s">
        <v>26</v>
      </c>
      <c r="E176" t="s">
        <v>17</v>
      </c>
      <c r="F176" t="s">
        <v>112</v>
      </c>
      <c r="G176" t="s">
        <v>36</v>
      </c>
      <c r="H176">
        <v>184993</v>
      </c>
      <c r="I176">
        <v>-166188.21</v>
      </c>
      <c r="J176" t="s">
        <v>59</v>
      </c>
      <c r="K176" t="s">
        <v>48</v>
      </c>
      <c r="L176">
        <v>2025</v>
      </c>
      <c r="M176" t="s">
        <v>190</v>
      </c>
    </row>
    <row r="177" spans="1:13" x14ac:dyDescent="0.35">
      <c r="A177" t="s">
        <v>565</v>
      </c>
      <c r="B177" t="s">
        <v>566</v>
      </c>
      <c r="C177" t="s">
        <v>25</v>
      </c>
      <c r="D177" t="s">
        <v>83</v>
      </c>
      <c r="E177" t="s">
        <v>34</v>
      </c>
      <c r="F177" t="s">
        <v>35</v>
      </c>
      <c r="G177" t="s">
        <v>78</v>
      </c>
      <c r="H177">
        <v>107569</v>
      </c>
      <c r="I177">
        <v>16341.79</v>
      </c>
      <c r="J177" t="s">
        <v>59</v>
      </c>
      <c r="K177" t="s">
        <v>21</v>
      </c>
      <c r="L177">
        <v>2022</v>
      </c>
      <c r="M177" t="s">
        <v>226</v>
      </c>
    </row>
    <row r="178" spans="1:13" x14ac:dyDescent="0.35">
      <c r="A178" t="s">
        <v>567</v>
      </c>
      <c r="B178" t="s">
        <v>568</v>
      </c>
      <c r="C178" t="s">
        <v>40</v>
      </c>
      <c r="D178" t="s">
        <v>96</v>
      </c>
      <c r="E178" t="s">
        <v>34</v>
      </c>
      <c r="F178" t="s">
        <v>101</v>
      </c>
      <c r="G178" t="s">
        <v>78</v>
      </c>
      <c r="H178">
        <v>183182</v>
      </c>
      <c r="I178">
        <v>17635.86</v>
      </c>
      <c r="J178" t="s">
        <v>47</v>
      </c>
      <c r="K178" t="s">
        <v>48</v>
      </c>
      <c r="L178">
        <v>2023</v>
      </c>
      <c r="M178" t="s">
        <v>451</v>
      </c>
    </row>
    <row r="179" spans="1:13" x14ac:dyDescent="0.35">
      <c r="A179" t="s">
        <v>569</v>
      </c>
      <c r="B179" t="s">
        <v>570</v>
      </c>
      <c r="C179" t="s">
        <v>25</v>
      </c>
      <c r="D179" t="s">
        <v>149</v>
      </c>
      <c r="E179" t="s">
        <v>34</v>
      </c>
      <c r="F179" t="s">
        <v>101</v>
      </c>
      <c r="G179" t="s">
        <v>19</v>
      </c>
      <c r="H179">
        <v>44254</v>
      </c>
      <c r="I179">
        <v>10884.44</v>
      </c>
      <c r="J179" t="s">
        <v>113</v>
      </c>
      <c r="K179" t="s">
        <v>48</v>
      </c>
      <c r="L179">
        <v>2025</v>
      </c>
      <c r="M179" t="s">
        <v>571</v>
      </c>
    </row>
    <row r="180" spans="1:13" x14ac:dyDescent="0.35">
      <c r="A180" t="s">
        <v>572</v>
      </c>
      <c r="B180" t="s">
        <v>573</v>
      </c>
      <c r="C180" t="s">
        <v>25</v>
      </c>
      <c r="D180" t="s">
        <v>83</v>
      </c>
      <c r="E180" t="s">
        <v>34</v>
      </c>
      <c r="F180" t="s">
        <v>101</v>
      </c>
      <c r="G180" t="s">
        <v>68</v>
      </c>
      <c r="H180">
        <v>178313</v>
      </c>
      <c r="I180">
        <v>34759.42</v>
      </c>
      <c r="J180" t="s">
        <v>79</v>
      </c>
      <c r="K180" t="s">
        <v>21</v>
      </c>
      <c r="L180">
        <v>2021</v>
      </c>
      <c r="M180" t="s">
        <v>574</v>
      </c>
    </row>
    <row r="181" spans="1:13" x14ac:dyDescent="0.35">
      <c r="A181" t="s">
        <v>575</v>
      </c>
      <c r="B181" t="s">
        <v>576</v>
      </c>
      <c r="C181" t="s">
        <v>25</v>
      </c>
      <c r="D181" t="s">
        <v>149</v>
      </c>
      <c r="E181" t="s">
        <v>34</v>
      </c>
      <c r="F181" t="s">
        <v>67</v>
      </c>
      <c r="G181" t="s">
        <v>78</v>
      </c>
      <c r="H181">
        <v>250168</v>
      </c>
      <c r="I181">
        <v>47781.06</v>
      </c>
      <c r="J181" t="s">
        <v>59</v>
      </c>
      <c r="K181" t="s">
        <v>53</v>
      </c>
      <c r="L181">
        <v>2022</v>
      </c>
      <c r="M181" t="s">
        <v>577</v>
      </c>
    </row>
    <row r="182" spans="1:13" x14ac:dyDescent="0.35">
      <c r="A182" t="s">
        <v>578</v>
      </c>
      <c r="B182" t="s">
        <v>579</v>
      </c>
      <c r="C182" t="s">
        <v>25</v>
      </c>
      <c r="D182" t="s">
        <v>83</v>
      </c>
      <c r="E182" t="s">
        <v>17</v>
      </c>
      <c r="F182" t="s">
        <v>112</v>
      </c>
      <c r="G182" t="s">
        <v>36</v>
      </c>
      <c r="H182">
        <v>128313</v>
      </c>
      <c r="I182">
        <v>-91874.43</v>
      </c>
      <c r="J182" t="s">
        <v>97</v>
      </c>
      <c r="K182" t="s">
        <v>48</v>
      </c>
      <c r="L182">
        <v>2025</v>
      </c>
      <c r="M182" t="s">
        <v>580</v>
      </c>
    </row>
    <row r="183" spans="1:13" x14ac:dyDescent="0.35">
      <c r="A183" t="s">
        <v>581</v>
      </c>
      <c r="B183" t="s">
        <v>582</v>
      </c>
      <c r="C183" t="s">
        <v>76</v>
      </c>
      <c r="D183" t="s">
        <v>77</v>
      </c>
      <c r="E183" t="s">
        <v>138</v>
      </c>
      <c r="F183" t="s">
        <v>139</v>
      </c>
      <c r="G183" t="s">
        <v>78</v>
      </c>
      <c r="H183">
        <v>192408</v>
      </c>
      <c r="I183">
        <v>21401.25</v>
      </c>
      <c r="J183" t="s">
        <v>47</v>
      </c>
      <c r="K183" t="s">
        <v>30</v>
      </c>
      <c r="L183">
        <v>2025</v>
      </c>
      <c r="M183" t="s">
        <v>583</v>
      </c>
    </row>
    <row r="184" spans="1:13" x14ac:dyDescent="0.35">
      <c r="A184" t="s">
        <v>584</v>
      </c>
      <c r="B184" t="s">
        <v>585</v>
      </c>
      <c r="C184" t="s">
        <v>40</v>
      </c>
      <c r="D184" t="s">
        <v>96</v>
      </c>
      <c r="E184" t="s">
        <v>34</v>
      </c>
      <c r="F184" t="s">
        <v>35</v>
      </c>
      <c r="G184" t="s">
        <v>68</v>
      </c>
      <c r="H184">
        <v>202191</v>
      </c>
      <c r="I184">
        <v>10236.75</v>
      </c>
      <c r="J184" t="s">
        <v>29</v>
      </c>
      <c r="K184" t="s">
        <v>30</v>
      </c>
      <c r="L184">
        <v>2021</v>
      </c>
      <c r="M184" t="s">
        <v>417</v>
      </c>
    </row>
    <row r="185" spans="1:13" x14ac:dyDescent="0.35">
      <c r="A185" t="s">
        <v>586</v>
      </c>
      <c r="B185" t="s">
        <v>587</v>
      </c>
      <c r="C185" t="s">
        <v>25</v>
      </c>
      <c r="D185" t="s">
        <v>83</v>
      </c>
      <c r="E185" t="s">
        <v>34</v>
      </c>
      <c r="F185" t="s">
        <v>58</v>
      </c>
      <c r="G185" t="s">
        <v>68</v>
      </c>
      <c r="H185">
        <v>115514</v>
      </c>
      <c r="I185">
        <v>12824.42</v>
      </c>
      <c r="J185" t="s">
        <v>29</v>
      </c>
      <c r="K185" t="s">
        <v>48</v>
      </c>
      <c r="L185">
        <v>2024</v>
      </c>
      <c r="M185" t="s">
        <v>588</v>
      </c>
    </row>
    <row r="186" spans="1:13" x14ac:dyDescent="0.35">
      <c r="A186" t="s">
        <v>589</v>
      </c>
      <c r="B186" t="s">
        <v>590</v>
      </c>
      <c r="C186" t="s">
        <v>76</v>
      </c>
      <c r="D186" t="s">
        <v>171</v>
      </c>
      <c r="E186" t="s">
        <v>34</v>
      </c>
      <c r="F186" t="s">
        <v>35</v>
      </c>
      <c r="G186" t="s">
        <v>19</v>
      </c>
      <c r="H186">
        <v>266639</v>
      </c>
      <c r="I186">
        <v>25303.83</v>
      </c>
      <c r="J186" t="s">
        <v>113</v>
      </c>
      <c r="K186" t="s">
        <v>53</v>
      </c>
      <c r="L186">
        <v>2021</v>
      </c>
      <c r="M186" t="s">
        <v>591</v>
      </c>
    </row>
    <row r="187" spans="1:13" x14ac:dyDescent="0.35">
      <c r="A187" t="s">
        <v>592</v>
      </c>
      <c r="B187" t="s">
        <v>593</v>
      </c>
      <c r="C187" t="s">
        <v>40</v>
      </c>
      <c r="D187" t="s">
        <v>66</v>
      </c>
      <c r="E187" t="s">
        <v>17</v>
      </c>
      <c r="F187" t="s">
        <v>112</v>
      </c>
      <c r="G187" t="s">
        <v>36</v>
      </c>
      <c r="H187">
        <v>58473</v>
      </c>
      <c r="I187">
        <v>-42755.46</v>
      </c>
      <c r="J187" t="s">
        <v>20</v>
      </c>
      <c r="K187" t="s">
        <v>53</v>
      </c>
      <c r="L187">
        <v>2022</v>
      </c>
      <c r="M187" t="s">
        <v>594</v>
      </c>
    </row>
    <row r="188" spans="1:13" x14ac:dyDescent="0.35">
      <c r="A188" t="s">
        <v>595</v>
      </c>
      <c r="B188" t="s">
        <v>596</v>
      </c>
      <c r="C188" t="s">
        <v>76</v>
      </c>
      <c r="D188" t="s">
        <v>77</v>
      </c>
      <c r="E188" t="s">
        <v>17</v>
      </c>
      <c r="F188" t="s">
        <v>72</v>
      </c>
      <c r="G188" t="s">
        <v>68</v>
      </c>
      <c r="H188">
        <v>60000</v>
      </c>
      <c r="I188">
        <v>-43379.360000000001</v>
      </c>
      <c r="J188" t="s">
        <v>79</v>
      </c>
      <c r="K188" t="s">
        <v>48</v>
      </c>
      <c r="L188">
        <v>2024</v>
      </c>
      <c r="M188" t="s">
        <v>597</v>
      </c>
    </row>
    <row r="189" spans="1:13" x14ac:dyDescent="0.35">
      <c r="A189" t="s">
        <v>598</v>
      </c>
      <c r="B189" t="s">
        <v>599</v>
      </c>
      <c r="C189" t="s">
        <v>76</v>
      </c>
      <c r="D189" t="s">
        <v>105</v>
      </c>
      <c r="E189" t="s">
        <v>27</v>
      </c>
      <c r="F189" t="s">
        <v>28</v>
      </c>
      <c r="G189" t="s">
        <v>78</v>
      </c>
      <c r="H189">
        <v>578180</v>
      </c>
      <c r="I189">
        <v>33544.269999999997</v>
      </c>
      <c r="J189" t="s">
        <v>113</v>
      </c>
      <c r="K189" t="s">
        <v>53</v>
      </c>
      <c r="L189">
        <v>2024</v>
      </c>
      <c r="M189" t="s">
        <v>600</v>
      </c>
    </row>
    <row r="190" spans="1:13" x14ac:dyDescent="0.35">
      <c r="A190" t="s">
        <v>601</v>
      </c>
      <c r="B190" t="s">
        <v>602</v>
      </c>
      <c r="C190" t="s">
        <v>25</v>
      </c>
      <c r="D190" t="s">
        <v>83</v>
      </c>
      <c r="E190" t="s">
        <v>17</v>
      </c>
      <c r="F190" t="s">
        <v>42</v>
      </c>
      <c r="G190" t="s">
        <v>19</v>
      </c>
      <c r="H190">
        <v>123958</v>
      </c>
      <c r="I190">
        <v>-97552.27</v>
      </c>
      <c r="J190" t="s">
        <v>79</v>
      </c>
      <c r="K190" t="s">
        <v>53</v>
      </c>
      <c r="L190">
        <v>2022</v>
      </c>
      <c r="M190" t="s">
        <v>603</v>
      </c>
    </row>
    <row r="191" spans="1:13" x14ac:dyDescent="0.35">
      <c r="A191" t="s">
        <v>604</v>
      </c>
      <c r="B191" t="s">
        <v>605</v>
      </c>
      <c r="C191" t="s">
        <v>40</v>
      </c>
      <c r="D191" t="s">
        <v>41</v>
      </c>
      <c r="E191" t="s">
        <v>17</v>
      </c>
      <c r="F191" t="s">
        <v>72</v>
      </c>
      <c r="G191" t="s">
        <v>19</v>
      </c>
      <c r="H191">
        <v>173714</v>
      </c>
      <c r="I191">
        <v>-169395.5</v>
      </c>
      <c r="J191" t="s">
        <v>97</v>
      </c>
      <c r="K191" t="s">
        <v>30</v>
      </c>
      <c r="L191">
        <v>2021</v>
      </c>
      <c r="M191" t="s">
        <v>606</v>
      </c>
    </row>
    <row r="192" spans="1:13" x14ac:dyDescent="0.35">
      <c r="A192" t="s">
        <v>607</v>
      </c>
      <c r="B192" t="s">
        <v>608</v>
      </c>
      <c r="C192" t="s">
        <v>25</v>
      </c>
      <c r="D192" t="s">
        <v>26</v>
      </c>
      <c r="E192" t="s">
        <v>34</v>
      </c>
      <c r="F192" t="s">
        <v>35</v>
      </c>
      <c r="G192" t="s">
        <v>36</v>
      </c>
      <c r="H192">
        <v>185957</v>
      </c>
      <c r="I192">
        <v>17326.41</v>
      </c>
      <c r="J192" t="s">
        <v>97</v>
      </c>
      <c r="K192" t="s">
        <v>53</v>
      </c>
      <c r="L192">
        <v>2025</v>
      </c>
      <c r="M192" t="s">
        <v>609</v>
      </c>
    </row>
    <row r="193" spans="1:13" x14ac:dyDescent="0.35">
      <c r="A193" t="s">
        <v>610</v>
      </c>
      <c r="B193" t="s">
        <v>611</v>
      </c>
      <c r="C193" t="s">
        <v>25</v>
      </c>
      <c r="D193" t="s">
        <v>83</v>
      </c>
      <c r="E193" t="s">
        <v>17</v>
      </c>
      <c r="F193" t="s">
        <v>72</v>
      </c>
      <c r="G193" t="s">
        <v>36</v>
      </c>
      <c r="H193">
        <v>142013</v>
      </c>
      <c r="I193">
        <v>-138271.07999999999</v>
      </c>
      <c r="J193" t="s">
        <v>29</v>
      </c>
      <c r="K193" t="s">
        <v>21</v>
      </c>
      <c r="L193">
        <v>2022</v>
      </c>
      <c r="M193" t="s">
        <v>612</v>
      </c>
    </row>
    <row r="194" spans="1:13" x14ac:dyDescent="0.35">
      <c r="A194" t="s">
        <v>613</v>
      </c>
      <c r="B194" t="s">
        <v>614</v>
      </c>
      <c r="C194" t="s">
        <v>40</v>
      </c>
      <c r="D194" t="s">
        <v>96</v>
      </c>
      <c r="E194" t="s">
        <v>34</v>
      </c>
      <c r="F194" t="s">
        <v>67</v>
      </c>
      <c r="G194" t="s">
        <v>36</v>
      </c>
      <c r="H194">
        <v>252493</v>
      </c>
      <c r="I194">
        <v>62070.95</v>
      </c>
      <c r="J194" t="s">
        <v>97</v>
      </c>
      <c r="K194" t="s">
        <v>30</v>
      </c>
      <c r="L194">
        <v>2022</v>
      </c>
      <c r="M194" t="s">
        <v>246</v>
      </c>
    </row>
    <row r="195" spans="1:13" x14ac:dyDescent="0.35">
      <c r="A195" t="s">
        <v>615</v>
      </c>
      <c r="B195" t="s">
        <v>616</v>
      </c>
      <c r="C195" t="s">
        <v>76</v>
      </c>
      <c r="D195" t="s">
        <v>105</v>
      </c>
      <c r="E195" t="s">
        <v>34</v>
      </c>
      <c r="F195" t="s">
        <v>35</v>
      </c>
      <c r="G195" t="s">
        <v>36</v>
      </c>
      <c r="H195">
        <v>101381</v>
      </c>
      <c r="I195">
        <v>13872.64</v>
      </c>
      <c r="J195" t="s">
        <v>47</v>
      </c>
      <c r="K195" t="s">
        <v>53</v>
      </c>
      <c r="L195">
        <v>2021</v>
      </c>
      <c r="M195" t="s">
        <v>69</v>
      </c>
    </row>
    <row r="196" spans="1:13" x14ac:dyDescent="0.35">
      <c r="A196" t="s">
        <v>617</v>
      </c>
      <c r="B196" t="s">
        <v>618</v>
      </c>
      <c r="C196" t="s">
        <v>76</v>
      </c>
      <c r="D196" t="s">
        <v>105</v>
      </c>
      <c r="E196" t="s">
        <v>34</v>
      </c>
      <c r="F196" t="s">
        <v>58</v>
      </c>
      <c r="G196" t="s">
        <v>68</v>
      </c>
      <c r="H196">
        <v>28020</v>
      </c>
      <c r="I196">
        <v>1730.72</v>
      </c>
      <c r="J196" t="s">
        <v>212</v>
      </c>
      <c r="K196" t="s">
        <v>48</v>
      </c>
      <c r="L196">
        <v>2021</v>
      </c>
      <c r="M196" t="s">
        <v>619</v>
      </c>
    </row>
    <row r="197" spans="1:13" x14ac:dyDescent="0.35">
      <c r="A197" t="s">
        <v>620</v>
      </c>
      <c r="B197" t="s">
        <v>621</v>
      </c>
      <c r="C197" t="s">
        <v>40</v>
      </c>
      <c r="D197" t="s">
        <v>96</v>
      </c>
      <c r="E197" t="s">
        <v>138</v>
      </c>
      <c r="F197" t="s">
        <v>139</v>
      </c>
      <c r="G197" t="s">
        <v>68</v>
      </c>
      <c r="H197">
        <v>426636</v>
      </c>
      <c r="I197">
        <v>53169.95</v>
      </c>
      <c r="J197" t="s">
        <v>20</v>
      </c>
      <c r="K197" t="s">
        <v>21</v>
      </c>
      <c r="L197">
        <v>2025</v>
      </c>
      <c r="M197" t="s">
        <v>622</v>
      </c>
    </row>
    <row r="198" spans="1:13" x14ac:dyDescent="0.35">
      <c r="A198" t="s">
        <v>623</v>
      </c>
      <c r="B198" t="s">
        <v>302</v>
      </c>
      <c r="C198" t="s">
        <v>15</v>
      </c>
      <c r="D198" t="s">
        <v>57</v>
      </c>
      <c r="E198" t="s">
        <v>34</v>
      </c>
      <c r="F198" t="s">
        <v>67</v>
      </c>
      <c r="G198" t="s">
        <v>36</v>
      </c>
      <c r="H198">
        <v>78679</v>
      </c>
      <c r="I198">
        <v>7102.34</v>
      </c>
      <c r="J198" t="s">
        <v>113</v>
      </c>
      <c r="K198" t="s">
        <v>48</v>
      </c>
      <c r="L198">
        <v>2021</v>
      </c>
      <c r="M198" t="s">
        <v>213</v>
      </c>
    </row>
    <row r="199" spans="1:13" x14ac:dyDescent="0.35">
      <c r="A199" t="s">
        <v>624</v>
      </c>
      <c r="B199" t="s">
        <v>625</v>
      </c>
      <c r="C199" t="s">
        <v>15</v>
      </c>
      <c r="D199" t="s">
        <v>57</v>
      </c>
      <c r="E199" t="s">
        <v>17</v>
      </c>
      <c r="F199" t="s">
        <v>72</v>
      </c>
      <c r="G199" t="s">
        <v>36</v>
      </c>
      <c r="H199">
        <v>131728</v>
      </c>
      <c r="I199">
        <v>-110006.07</v>
      </c>
      <c r="J199" t="s">
        <v>79</v>
      </c>
      <c r="K199" t="s">
        <v>30</v>
      </c>
      <c r="L199">
        <v>2022</v>
      </c>
      <c r="M199" t="s">
        <v>626</v>
      </c>
    </row>
    <row r="200" spans="1:13" x14ac:dyDescent="0.35">
      <c r="A200" t="s">
        <v>627</v>
      </c>
      <c r="B200" t="s">
        <v>628</v>
      </c>
      <c r="C200" t="s">
        <v>40</v>
      </c>
      <c r="D200" t="s">
        <v>66</v>
      </c>
      <c r="E200" t="s">
        <v>27</v>
      </c>
      <c r="F200" t="s">
        <v>28</v>
      </c>
      <c r="G200" t="s">
        <v>36</v>
      </c>
      <c r="H200">
        <v>189061</v>
      </c>
      <c r="I200">
        <v>4303.21</v>
      </c>
      <c r="J200" t="s">
        <v>79</v>
      </c>
      <c r="K200" t="s">
        <v>53</v>
      </c>
      <c r="L200">
        <v>2023</v>
      </c>
      <c r="M200" t="s">
        <v>135</v>
      </c>
    </row>
    <row r="201" spans="1:13" x14ac:dyDescent="0.35">
      <c r="A201" t="s">
        <v>629</v>
      </c>
      <c r="B201" t="s">
        <v>630</v>
      </c>
      <c r="C201" t="s">
        <v>25</v>
      </c>
      <c r="D201" t="s">
        <v>83</v>
      </c>
      <c r="E201" t="s">
        <v>17</v>
      </c>
      <c r="F201" t="s">
        <v>18</v>
      </c>
      <c r="G201" t="s">
        <v>36</v>
      </c>
      <c r="H201">
        <v>106173</v>
      </c>
      <c r="I201">
        <v>-76376.72</v>
      </c>
      <c r="J201" t="s">
        <v>212</v>
      </c>
      <c r="K201" t="s">
        <v>21</v>
      </c>
      <c r="L201">
        <v>2025</v>
      </c>
      <c r="M201" t="s">
        <v>631</v>
      </c>
    </row>
    <row r="202" spans="1:13" x14ac:dyDescent="0.35">
      <c r="A202" t="s">
        <v>632</v>
      </c>
      <c r="B202" t="s">
        <v>611</v>
      </c>
      <c r="C202" t="s">
        <v>40</v>
      </c>
      <c r="D202" t="s">
        <v>96</v>
      </c>
      <c r="E202" t="s">
        <v>34</v>
      </c>
      <c r="F202" t="s">
        <v>35</v>
      </c>
      <c r="G202" t="s">
        <v>19</v>
      </c>
      <c r="H202">
        <v>181773</v>
      </c>
      <c r="I202">
        <v>36700.04</v>
      </c>
      <c r="J202" t="s">
        <v>29</v>
      </c>
      <c r="K202" t="s">
        <v>21</v>
      </c>
      <c r="L202">
        <v>2022</v>
      </c>
      <c r="M202" t="s">
        <v>457</v>
      </c>
    </row>
    <row r="203" spans="1:13" x14ac:dyDescent="0.35">
      <c r="A203" t="s">
        <v>633</v>
      </c>
      <c r="B203" t="s">
        <v>634</v>
      </c>
      <c r="C203" t="s">
        <v>25</v>
      </c>
      <c r="D203" t="s">
        <v>149</v>
      </c>
      <c r="E203" t="s">
        <v>17</v>
      </c>
      <c r="F203" t="s">
        <v>112</v>
      </c>
      <c r="G203" t="s">
        <v>68</v>
      </c>
      <c r="H203">
        <v>20494</v>
      </c>
      <c r="I203">
        <v>-18178.09</v>
      </c>
      <c r="J203" t="s">
        <v>212</v>
      </c>
      <c r="K203" t="s">
        <v>48</v>
      </c>
      <c r="L203">
        <v>2023</v>
      </c>
      <c r="M203" t="s">
        <v>635</v>
      </c>
    </row>
    <row r="204" spans="1:13" x14ac:dyDescent="0.35">
      <c r="A204" t="s">
        <v>636</v>
      </c>
      <c r="B204" t="s">
        <v>614</v>
      </c>
      <c r="C204" t="s">
        <v>25</v>
      </c>
      <c r="D204" t="s">
        <v>149</v>
      </c>
      <c r="E204" t="s">
        <v>17</v>
      </c>
      <c r="F204" t="s">
        <v>42</v>
      </c>
      <c r="G204" t="s">
        <v>36</v>
      </c>
      <c r="H204">
        <v>92033</v>
      </c>
      <c r="I204">
        <v>-75835.460000000006</v>
      </c>
      <c r="J204" t="s">
        <v>59</v>
      </c>
      <c r="K204" t="s">
        <v>30</v>
      </c>
      <c r="L204">
        <v>2022</v>
      </c>
      <c r="M204" t="s">
        <v>397</v>
      </c>
    </row>
    <row r="205" spans="1:13" x14ac:dyDescent="0.35">
      <c r="A205" t="s">
        <v>637</v>
      </c>
      <c r="B205" t="s">
        <v>638</v>
      </c>
      <c r="C205" t="s">
        <v>15</v>
      </c>
      <c r="D205" t="s">
        <v>16</v>
      </c>
      <c r="E205" t="s">
        <v>17</v>
      </c>
      <c r="F205" t="s">
        <v>72</v>
      </c>
      <c r="G205" t="s">
        <v>68</v>
      </c>
      <c r="H205">
        <v>61537</v>
      </c>
      <c r="I205">
        <v>-55490.55</v>
      </c>
      <c r="J205" t="s">
        <v>113</v>
      </c>
      <c r="K205" t="s">
        <v>53</v>
      </c>
      <c r="L205">
        <v>2024</v>
      </c>
      <c r="M205" t="s">
        <v>639</v>
      </c>
    </row>
    <row r="206" spans="1:13" x14ac:dyDescent="0.35">
      <c r="A206" t="s">
        <v>640</v>
      </c>
      <c r="B206" t="s">
        <v>641</v>
      </c>
      <c r="C206" t="s">
        <v>76</v>
      </c>
      <c r="D206" t="s">
        <v>77</v>
      </c>
      <c r="E206" t="s">
        <v>34</v>
      </c>
      <c r="F206" t="s">
        <v>67</v>
      </c>
      <c r="G206" t="s">
        <v>19</v>
      </c>
      <c r="H206">
        <v>188700</v>
      </c>
      <c r="I206">
        <v>21642.55</v>
      </c>
      <c r="J206" t="s">
        <v>113</v>
      </c>
      <c r="K206" t="s">
        <v>30</v>
      </c>
      <c r="L206">
        <v>2024</v>
      </c>
      <c r="M206" t="s">
        <v>642</v>
      </c>
    </row>
    <row r="207" spans="1:13" x14ac:dyDescent="0.35">
      <c r="A207" t="s">
        <v>643</v>
      </c>
      <c r="B207" t="s">
        <v>644</v>
      </c>
      <c r="C207" t="s">
        <v>15</v>
      </c>
      <c r="D207" t="s">
        <v>57</v>
      </c>
      <c r="E207" t="s">
        <v>34</v>
      </c>
      <c r="F207" t="s">
        <v>67</v>
      </c>
      <c r="G207" t="s">
        <v>19</v>
      </c>
      <c r="H207">
        <v>100011</v>
      </c>
      <c r="I207">
        <v>23293.77</v>
      </c>
      <c r="J207" t="s">
        <v>79</v>
      </c>
      <c r="K207" t="s">
        <v>53</v>
      </c>
      <c r="L207">
        <v>2025</v>
      </c>
      <c r="M207" t="s">
        <v>645</v>
      </c>
    </row>
    <row r="208" spans="1:13" x14ac:dyDescent="0.35">
      <c r="A208" t="s">
        <v>646</v>
      </c>
      <c r="B208" t="s">
        <v>647</v>
      </c>
      <c r="C208" t="s">
        <v>40</v>
      </c>
      <c r="D208" t="s">
        <v>66</v>
      </c>
      <c r="E208" t="s">
        <v>27</v>
      </c>
      <c r="F208" t="s">
        <v>204</v>
      </c>
      <c r="G208" t="s">
        <v>19</v>
      </c>
      <c r="H208">
        <v>558314</v>
      </c>
      <c r="I208">
        <v>33721.379999999997</v>
      </c>
      <c r="J208" t="s">
        <v>212</v>
      </c>
      <c r="K208" t="s">
        <v>48</v>
      </c>
      <c r="L208">
        <v>2022</v>
      </c>
      <c r="M208" t="s">
        <v>648</v>
      </c>
    </row>
    <row r="209" spans="1:13" x14ac:dyDescent="0.35">
      <c r="A209" t="s">
        <v>649</v>
      </c>
      <c r="B209" t="s">
        <v>650</v>
      </c>
      <c r="C209" t="s">
        <v>76</v>
      </c>
      <c r="D209" t="s">
        <v>105</v>
      </c>
      <c r="E209" t="s">
        <v>17</v>
      </c>
      <c r="F209" t="s">
        <v>52</v>
      </c>
      <c r="G209" t="s">
        <v>78</v>
      </c>
      <c r="H209">
        <v>79907</v>
      </c>
      <c r="I209">
        <v>-66299.48</v>
      </c>
      <c r="J209" t="s">
        <v>20</v>
      </c>
      <c r="K209" t="s">
        <v>30</v>
      </c>
      <c r="L209">
        <v>2025</v>
      </c>
      <c r="M209" t="s">
        <v>651</v>
      </c>
    </row>
    <row r="210" spans="1:13" x14ac:dyDescent="0.35">
      <c r="A210" t="s">
        <v>652</v>
      </c>
      <c r="B210" t="s">
        <v>653</v>
      </c>
      <c r="C210" t="s">
        <v>40</v>
      </c>
      <c r="D210" t="s">
        <v>41</v>
      </c>
      <c r="E210" t="s">
        <v>34</v>
      </c>
      <c r="F210" t="s">
        <v>35</v>
      </c>
      <c r="G210" t="s">
        <v>36</v>
      </c>
      <c r="H210">
        <v>49553</v>
      </c>
      <c r="I210">
        <v>10610.3</v>
      </c>
      <c r="J210" t="s">
        <v>113</v>
      </c>
      <c r="K210" t="s">
        <v>30</v>
      </c>
      <c r="L210">
        <v>2021</v>
      </c>
      <c r="M210" t="s">
        <v>654</v>
      </c>
    </row>
    <row r="211" spans="1:13" x14ac:dyDescent="0.35">
      <c r="A211" t="s">
        <v>655</v>
      </c>
      <c r="B211" t="s">
        <v>656</v>
      </c>
      <c r="C211" t="s">
        <v>40</v>
      </c>
      <c r="D211" t="s">
        <v>41</v>
      </c>
      <c r="E211" t="s">
        <v>138</v>
      </c>
      <c r="F211" t="s">
        <v>208</v>
      </c>
      <c r="G211" t="s">
        <v>36</v>
      </c>
      <c r="H211">
        <v>412830</v>
      </c>
      <c r="I211">
        <v>-8360.4699999999993</v>
      </c>
      <c r="J211" t="s">
        <v>47</v>
      </c>
      <c r="K211" t="s">
        <v>53</v>
      </c>
      <c r="L211">
        <v>2022</v>
      </c>
      <c r="M211" t="s">
        <v>657</v>
      </c>
    </row>
    <row r="212" spans="1:13" x14ac:dyDescent="0.35">
      <c r="A212" t="s">
        <v>658</v>
      </c>
      <c r="B212" t="s">
        <v>659</v>
      </c>
      <c r="C212" t="s">
        <v>40</v>
      </c>
      <c r="D212" t="s">
        <v>66</v>
      </c>
      <c r="E212" t="s">
        <v>34</v>
      </c>
      <c r="F212" t="s">
        <v>58</v>
      </c>
      <c r="G212" t="s">
        <v>68</v>
      </c>
      <c r="H212">
        <v>109088</v>
      </c>
      <c r="I212">
        <v>26106.69</v>
      </c>
      <c r="J212" t="s">
        <v>29</v>
      </c>
      <c r="K212" t="s">
        <v>48</v>
      </c>
      <c r="L212">
        <v>2023</v>
      </c>
      <c r="M212" t="s">
        <v>660</v>
      </c>
    </row>
    <row r="213" spans="1:13" x14ac:dyDescent="0.35">
      <c r="A213" t="s">
        <v>661</v>
      </c>
      <c r="B213" t="s">
        <v>653</v>
      </c>
      <c r="C213" t="s">
        <v>76</v>
      </c>
      <c r="D213" t="s">
        <v>171</v>
      </c>
      <c r="E213" t="s">
        <v>34</v>
      </c>
      <c r="F213" t="s">
        <v>58</v>
      </c>
      <c r="G213" t="s">
        <v>19</v>
      </c>
      <c r="H213">
        <v>216887</v>
      </c>
      <c r="I213">
        <v>42979.040000000001</v>
      </c>
      <c r="J213" t="s">
        <v>20</v>
      </c>
      <c r="K213" t="s">
        <v>30</v>
      </c>
      <c r="L213">
        <v>2021</v>
      </c>
      <c r="M213" t="s">
        <v>662</v>
      </c>
    </row>
    <row r="214" spans="1:13" x14ac:dyDescent="0.35">
      <c r="A214" t="s">
        <v>663</v>
      </c>
      <c r="B214" t="s">
        <v>664</v>
      </c>
      <c r="C214" t="s">
        <v>25</v>
      </c>
      <c r="D214" t="s">
        <v>149</v>
      </c>
      <c r="E214" t="s">
        <v>34</v>
      </c>
      <c r="F214" t="s">
        <v>35</v>
      </c>
      <c r="G214" t="s">
        <v>36</v>
      </c>
      <c r="H214">
        <v>32195</v>
      </c>
      <c r="I214">
        <v>2460.84</v>
      </c>
      <c r="J214" t="s">
        <v>97</v>
      </c>
      <c r="K214" t="s">
        <v>30</v>
      </c>
      <c r="L214">
        <v>2025</v>
      </c>
      <c r="M214" t="s">
        <v>665</v>
      </c>
    </row>
    <row r="215" spans="1:13" x14ac:dyDescent="0.35">
      <c r="A215" t="s">
        <v>666</v>
      </c>
      <c r="B215" t="s">
        <v>667</v>
      </c>
      <c r="C215" t="s">
        <v>76</v>
      </c>
      <c r="D215" t="s">
        <v>171</v>
      </c>
      <c r="E215" t="s">
        <v>17</v>
      </c>
      <c r="F215" t="s">
        <v>72</v>
      </c>
      <c r="G215" t="s">
        <v>36</v>
      </c>
      <c r="H215">
        <v>29342</v>
      </c>
      <c r="I215">
        <v>-21337.96</v>
      </c>
      <c r="J215" t="s">
        <v>113</v>
      </c>
      <c r="K215" t="s">
        <v>48</v>
      </c>
      <c r="L215">
        <v>2022</v>
      </c>
      <c r="M215" t="s">
        <v>668</v>
      </c>
    </row>
    <row r="216" spans="1:13" x14ac:dyDescent="0.35">
      <c r="A216" t="s">
        <v>669</v>
      </c>
      <c r="B216" t="s">
        <v>670</v>
      </c>
      <c r="C216" t="s">
        <v>76</v>
      </c>
      <c r="D216" t="s">
        <v>77</v>
      </c>
      <c r="E216" t="s">
        <v>138</v>
      </c>
      <c r="F216" t="s">
        <v>139</v>
      </c>
      <c r="G216" t="s">
        <v>36</v>
      </c>
      <c r="H216">
        <v>205998</v>
      </c>
      <c r="I216">
        <v>13006.47</v>
      </c>
      <c r="J216" t="s">
        <v>59</v>
      </c>
      <c r="K216" t="s">
        <v>21</v>
      </c>
      <c r="L216">
        <v>2021</v>
      </c>
      <c r="M216" t="s">
        <v>671</v>
      </c>
    </row>
    <row r="217" spans="1:13" x14ac:dyDescent="0.35">
      <c r="A217" t="s">
        <v>672</v>
      </c>
      <c r="B217" t="s">
        <v>673</v>
      </c>
      <c r="C217" t="s">
        <v>76</v>
      </c>
      <c r="D217" t="s">
        <v>77</v>
      </c>
      <c r="E217" t="s">
        <v>17</v>
      </c>
      <c r="F217" t="s">
        <v>52</v>
      </c>
      <c r="G217" t="s">
        <v>19</v>
      </c>
      <c r="H217">
        <v>192547</v>
      </c>
      <c r="I217">
        <v>-135649.92000000001</v>
      </c>
      <c r="J217" t="s">
        <v>47</v>
      </c>
      <c r="K217" t="s">
        <v>53</v>
      </c>
      <c r="L217">
        <v>2023</v>
      </c>
      <c r="M217" t="s">
        <v>367</v>
      </c>
    </row>
    <row r="218" spans="1:13" x14ac:dyDescent="0.35">
      <c r="A218" t="s">
        <v>674</v>
      </c>
      <c r="B218" t="s">
        <v>675</v>
      </c>
      <c r="C218" t="s">
        <v>40</v>
      </c>
      <c r="D218" t="s">
        <v>96</v>
      </c>
      <c r="E218" t="s">
        <v>17</v>
      </c>
      <c r="F218" t="s">
        <v>52</v>
      </c>
      <c r="G218" t="s">
        <v>19</v>
      </c>
      <c r="H218">
        <v>77530</v>
      </c>
      <c r="I218">
        <v>-54688.11</v>
      </c>
      <c r="J218" t="s">
        <v>97</v>
      </c>
      <c r="K218" t="s">
        <v>21</v>
      </c>
      <c r="L218">
        <v>2021</v>
      </c>
      <c r="M218" t="s">
        <v>591</v>
      </c>
    </row>
    <row r="219" spans="1:13" x14ac:dyDescent="0.35">
      <c r="A219" t="s">
        <v>676</v>
      </c>
      <c r="B219" t="s">
        <v>677</v>
      </c>
      <c r="C219" t="s">
        <v>76</v>
      </c>
      <c r="D219" t="s">
        <v>105</v>
      </c>
      <c r="E219" t="s">
        <v>34</v>
      </c>
      <c r="F219" t="s">
        <v>58</v>
      </c>
      <c r="G219" t="s">
        <v>19</v>
      </c>
      <c r="H219">
        <v>185794</v>
      </c>
      <c r="I219">
        <v>13287.64</v>
      </c>
      <c r="J219" t="s">
        <v>79</v>
      </c>
      <c r="K219" t="s">
        <v>21</v>
      </c>
      <c r="L219">
        <v>2024</v>
      </c>
      <c r="M219" t="s">
        <v>678</v>
      </c>
    </row>
    <row r="220" spans="1:13" x14ac:dyDescent="0.35">
      <c r="A220" t="s">
        <v>679</v>
      </c>
      <c r="B220" t="s">
        <v>680</v>
      </c>
      <c r="C220" t="s">
        <v>76</v>
      </c>
      <c r="D220" t="s">
        <v>171</v>
      </c>
      <c r="E220" t="s">
        <v>34</v>
      </c>
      <c r="F220" t="s">
        <v>67</v>
      </c>
      <c r="G220" t="s">
        <v>36</v>
      </c>
      <c r="H220">
        <v>191139</v>
      </c>
      <c r="I220">
        <v>29941.23</v>
      </c>
      <c r="J220" t="s">
        <v>20</v>
      </c>
      <c r="K220" t="s">
        <v>53</v>
      </c>
      <c r="L220">
        <v>2023</v>
      </c>
      <c r="M220" t="s">
        <v>609</v>
      </c>
    </row>
    <row r="221" spans="1:13" x14ac:dyDescent="0.35">
      <c r="A221" t="s">
        <v>681</v>
      </c>
      <c r="B221" t="s">
        <v>682</v>
      </c>
      <c r="C221" t="s">
        <v>40</v>
      </c>
      <c r="D221" t="s">
        <v>66</v>
      </c>
      <c r="E221" t="s">
        <v>34</v>
      </c>
      <c r="F221" t="s">
        <v>101</v>
      </c>
      <c r="G221" t="s">
        <v>36</v>
      </c>
      <c r="H221">
        <v>132655</v>
      </c>
      <c r="I221">
        <v>19498.47</v>
      </c>
      <c r="J221" t="s">
        <v>79</v>
      </c>
      <c r="K221" t="s">
        <v>53</v>
      </c>
      <c r="L221">
        <v>2022</v>
      </c>
      <c r="M221" t="s">
        <v>603</v>
      </c>
    </row>
    <row r="222" spans="1:13" x14ac:dyDescent="0.35">
      <c r="A222" t="s">
        <v>683</v>
      </c>
      <c r="B222" t="s">
        <v>684</v>
      </c>
      <c r="C222" t="s">
        <v>40</v>
      </c>
      <c r="D222" t="s">
        <v>66</v>
      </c>
      <c r="E222" t="s">
        <v>17</v>
      </c>
      <c r="F222" t="s">
        <v>42</v>
      </c>
      <c r="G222" t="s">
        <v>78</v>
      </c>
      <c r="H222">
        <v>85234</v>
      </c>
      <c r="I222">
        <v>-63655.46</v>
      </c>
      <c r="J222" t="s">
        <v>212</v>
      </c>
      <c r="K222" t="s">
        <v>53</v>
      </c>
      <c r="L222">
        <v>2022</v>
      </c>
      <c r="M222" t="s">
        <v>685</v>
      </c>
    </row>
    <row r="223" spans="1:13" x14ac:dyDescent="0.35">
      <c r="A223" t="s">
        <v>686</v>
      </c>
      <c r="B223" t="s">
        <v>687</v>
      </c>
      <c r="C223" t="s">
        <v>25</v>
      </c>
      <c r="D223" t="s">
        <v>83</v>
      </c>
      <c r="E223" t="s">
        <v>27</v>
      </c>
      <c r="F223" t="s">
        <v>204</v>
      </c>
      <c r="G223" t="s">
        <v>36</v>
      </c>
      <c r="H223">
        <v>998756</v>
      </c>
      <c r="I223">
        <v>118736.54</v>
      </c>
      <c r="J223" t="s">
        <v>47</v>
      </c>
      <c r="K223" t="s">
        <v>53</v>
      </c>
      <c r="L223">
        <v>2022</v>
      </c>
      <c r="M223" t="s">
        <v>642</v>
      </c>
    </row>
    <row r="224" spans="1:13" x14ac:dyDescent="0.35">
      <c r="A224" t="s">
        <v>688</v>
      </c>
      <c r="B224" t="s">
        <v>689</v>
      </c>
      <c r="C224" t="s">
        <v>15</v>
      </c>
      <c r="D224" t="s">
        <v>46</v>
      </c>
      <c r="E224" t="s">
        <v>17</v>
      </c>
      <c r="F224" t="s">
        <v>18</v>
      </c>
      <c r="G224" t="s">
        <v>19</v>
      </c>
      <c r="H224">
        <v>25308</v>
      </c>
      <c r="I224">
        <v>-17761.46</v>
      </c>
      <c r="J224" t="s">
        <v>59</v>
      </c>
      <c r="K224" t="s">
        <v>21</v>
      </c>
      <c r="L224">
        <v>2022</v>
      </c>
      <c r="M224" t="s">
        <v>690</v>
      </c>
    </row>
    <row r="225" spans="1:13" x14ac:dyDescent="0.35">
      <c r="A225" t="s">
        <v>691</v>
      </c>
      <c r="B225" t="s">
        <v>692</v>
      </c>
      <c r="C225" t="s">
        <v>76</v>
      </c>
      <c r="D225" t="s">
        <v>77</v>
      </c>
      <c r="E225" t="s">
        <v>34</v>
      </c>
      <c r="F225" t="s">
        <v>101</v>
      </c>
      <c r="G225" t="s">
        <v>36</v>
      </c>
      <c r="H225">
        <v>60199</v>
      </c>
      <c r="I225">
        <v>10510.64</v>
      </c>
      <c r="J225" t="s">
        <v>97</v>
      </c>
      <c r="K225" t="s">
        <v>53</v>
      </c>
      <c r="L225">
        <v>2022</v>
      </c>
      <c r="M225" t="s">
        <v>693</v>
      </c>
    </row>
    <row r="226" spans="1:13" x14ac:dyDescent="0.35">
      <c r="A226" t="s">
        <v>694</v>
      </c>
      <c r="B226" t="s">
        <v>695</v>
      </c>
      <c r="C226" t="s">
        <v>25</v>
      </c>
      <c r="D226" t="s">
        <v>149</v>
      </c>
      <c r="E226" t="s">
        <v>17</v>
      </c>
      <c r="F226" t="s">
        <v>72</v>
      </c>
      <c r="G226" t="s">
        <v>36</v>
      </c>
      <c r="H226">
        <v>117298</v>
      </c>
      <c r="I226">
        <v>-86081.07</v>
      </c>
      <c r="J226" t="s">
        <v>20</v>
      </c>
      <c r="K226" t="s">
        <v>53</v>
      </c>
      <c r="L226">
        <v>2025</v>
      </c>
      <c r="M226" t="s">
        <v>696</v>
      </c>
    </row>
    <row r="227" spans="1:13" x14ac:dyDescent="0.35">
      <c r="A227" t="s">
        <v>697</v>
      </c>
      <c r="B227" t="s">
        <v>698</v>
      </c>
      <c r="C227" t="s">
        <v>40</v>
      </c>
      <c r="D227" t="s">
        <v>96</v>
      </c>
      <c r="E227" t="s">
        <v>17</v>
      </c>
      <c r="F227" t="s">
        <v>18</v>
      </c>
      <c r="G227" t="s">
        <v>19</v>
      </c>
      <c r="H227">
        <v>109167</v>
      </c>
      <c r="I227">
        <v>-86229.55</v>
      </c>
      <c r="J227" t="s">
        <v>29</v>
      </c>
      <c r="K227" t="s">
        <v>21</v>
      </c>
      <c r="L227">
        <v>2023</v>
      </c>
      <c r="M227" t="s">
        <v>699</v>
      </c>
    </row>
    <row r="228" spans="1:13" x14ac:dyDescent="0.35">
      <c r="A228" t="s">
        <v>700</v>
      </c>
      <c r="B228" t="s">
        <v>701</v>
      </c>
      <c r="C228" t="s">
        <v>25</v>
      </c>
      <c r="D228" t="s">
        <v>149</v>
      </c>
      <c r="E228" t="s">
        <v>17</v>
      </c>
      <c r="F228" t="s">
        <v>72</v>
      </c>
      <c r="G228" t="s">
        <v>19</v>
      </c>
      <c r="H228">
        <v>117748</v>
      </c>
      <c r="I228">
        <v>-113064.61</v>
      </c>
      <c r="J228" t="s">
        <v>47</v>
      </c>
      <c r="K228" t="s">
        <v>30</v>
      </c>
      <c r="L228">
        <v>2021</v>
      </c>
      <c r="M228" t="s">
        <v>702</v>
      </c>
    </row>
    <row r="229" spans="1:13" x14ac:dyDescent="0.35">
      <c r="A229" t="s">
        <v>703</v>
      </c>
      <c r="B229" t="s">
        <v>704</v>
      </c>
      <c r="C229" t="s">
        <v>40</v>
      </c>
      <c r="D229" t="s">
        <v>96</v>
      </c>
      <c r="E229" t="s">
        <v>34</v>
      </c>
      <c r="F229" t="s">
        <v>101</v>
      </c>
      <c r="G229" t="s">
        <v>19</v>
      </c>
      <c r="H229">
        <v>210022</v>
      </c>
      <c r="I229">
        <v>13905.16</v>
      </c>
      <c r="J229" t="s">
        <v>79</v>
      </c>
      <c r="K229" t="s">
        <v>30</v>
      </c>
      <c r="L229">
        <v>2024</v>
      </c>
      <c r="M229" t="s">
        <v>705</v>
      </c>
    </row>
    <row r="230" spans="1:13" x14ac:dyDescent="0.35">
      <c r="A230" t="s">
        <v>706</v>
      </c>
      <c r="B230" t="s">
        <v>582</v>
      </c>
      <c r="C230" t="s">
        <v>76</v>
      </c>
      <c r="D230" t="s">
        <v>171</v>
      </c>
      <c r="E230" t="s">
        <v>34</v>
      </c>
      <c r="F230" t="s">
        <v>101</v>
      </c>
      <c r="G230" t="s">
        <v>19</v>
      </c>
      <c r="H230">
        <v>222777</v>
      </c>
      <c r="I230">
        <v>51138.63</v>
      </c>
      <c r="J230" t="s">
        <v>113</v>
      </c>
      <c r="K230" t="s">
        <v>30</v>
      </c>
      <c r="L230">
        <v>2025</v>
      </c>
      <c r="M230" t="s">
        <v>707</v>
      </c>
    </row>
    <row r="231" spans="1:13" x14ac:dyDescent="0.35">
      <c r="A231" t="s">
        <v>708</v>
      </c>
      <c r="B231" t="s">
        <v>709</v>
      </c>
      <c r="C231" t="s">
        <v>25</v>
      </c>
      <c r="D231" t="s">
        <v>83</v>
      </c>
      <c r="E231" t="s">
        <v>34</v>
      </c>
      <c r="F231" t="s">
        <v>67</v>
      </c>
      <c r="G231" t="s">
        <v>78</v>
      </c>
      <c r="H231">
        <v>20844</v>
      </c>
      <c r="I231">
        <v>2820.69</v>
      </c>
      <c r="J231" t="s">
        <v>29</v>
      </c>
      <c r="K231" t="s">
        <v>48</v>
      </c>
      <c r="L231">
        <v>2024</v>
      </c>
      <c r="M231" t="s">
        <v>710</v>
      </c>
    </row>
    <row r="232" spans="1:13" x14ac:dyDescent="0.35">
      <c r="A232" t="s">
        <v>711</v>
      </c>
      <c r="B232" t="s">
        <v>712</v>
      </c>
      <c r="C232" t="s">
        <v>15</v>
      </c>
      <c r="D232" t="s">
        <v>57</v>
      </c>
      <c r="E232" t="s">
        <v>17</v>
      </c>
      <c r="F232" t="s">
        <v>42</v>
      </c>
      <c r="G232" t="s">
        <v>36</v>
      </c>
      <c r="H232">
        <v>69986</v>
      </c>
      <c r="I232">
        <v>-66144.5</v>
      </c>
      <c r="J232" t="s">
        <v>113</v>
      </c>
      <c r="K232" t="s">
        <v>53</v>
      </c>
      <c r="L232">
        <v>2023</v>
      </c>
      <c r="M232" t="s">
        <v>713</v>
      </c>
    </row>
    <row r="233" spans="1:13" x14ac:dyDescent="0.35">
      <c r="A233" t="s">
        <v>714</v>
      </c>
      <c r="B233" t="s">
        <v>715</v>
      </c>
      <c r="C233" t="s">
        <v>76</v>
      </c>
      <c r="D233" t="s">
        <v>171</v>
      </c>
      <c r="E233" t="s">
        <v>34</v>
      </c>
      <c r="F233" t="s">
        <v>58</v>
      </c>
      <c r="G233" t="s">
        <v>36</v>
      </c>
      <c r="H233">
        <v>253979</v>
      </c>
      <c r="I233">
        <v>55642.71</v>
      </c>
      <c r="J233" t="s">
        <v>212</v>
      </c>
      <c r="K233" t="s">
        <v>48</v>
      </c>
      <c r="L233">
        <v>2023</v>
      </c>
      <c r="M233" t="s">
        <v>297</v>
      </c>
    </row>
    <row r="234" spans="1:13" x14ac:dyDescent="0.35">
      <c r="A234" t="s">
        <v>716</v>
      </c>
      <c r="B234" t="s">
        <v>717</v>
      </c>
      <c r="C234" t="s">
        <v>25</v>
      </c>
      <c r="D234" t="s">
        <v>149</v>
      </c>
      <c r="E234" t="s">
        <v>34</v>
      </c>
      <c r="F234" t="s">
        <v>101</v>
      </c>
      <c r="G234" t="s">
        <v>78</v>
      </c>
      <c r="H234">
        <v>80576</v>
      </c>
      <c r="I234">
        <v>6250.42</v>
      </c>
      <c r="J234" t="s">
        <v>59</v>
      </c>
      <c r="K234" t="s">
        <v>30</v>
      </c>
      <c r="L234">
        <v>2024</v>
      </c>
      <c r="M234" t="s">
        <v>718</v>
      </c>
    </row>
    <row r="235" spans="1:13" x14ac:dyDescent="0.35">
      <c r="A235" t="s">
        <v>719</v>
      </c>
      <c r="B235" t="s">
        <v>545</v>
      </c>
      <c r="C235" t="s">
        <v>15</v>
      </c>
      <c r="D235" t="s">
        <v>57</v>
      </c>
      <c r="E235" t="s">
        <v>17</v>
      </c>
      <c r="F235" t="s">
        <v>72</v>
      </c>
      <c r="G235" t="s">
        <v>78</v>
      </c>
      <c r="H235">
        <v>95442</v>
      </c>
      <c r="I235">
        <v>-67830.460000000006</v>
      </c>
      <c r="J235" t="s">
        <v>113</v>
      </c>
      <c r="K235" t="s">
        <v>48</v>
      </c>
      <c r="L235">
        <v>2022</v>
      </c>
      <c r="M235" t="s">
        <v>367</v>
      </c>
    </row>
    <row r="236" spans="1:13" x14ac:dyDescent="0.35">
      <c r="A236" t="s">
        <v>720</v>
      </c>
      <c r="B236" t="s">
        <v>599</v>
      </c>
      <c r="C236" t="s">
        <v>25</v>
      </c>
      <c r="D236" t="s">
        <v>83</v>
      </c>
      <c r="E236" t="s">
        <v>17</v>
      </c>
      <c r="F236" t="s">
        <v>18</v>
      </c>
      <c r="G236" t="s">
        <v>36</v>
      </c>
      <c r="H236">
        <v>49366</v>
      </c>
      <c r="I236">
        <v>-42627.83</v>
      </c>
      <c r="J236" t="s">
        <v>29</v>
      </c>
      <c r="K236" t="s">
        <v>53</v>
      </c>
      <c r="L236">
        <v>2024</v>
      </c>
      <c r="M236" t="s">
        <v>721</v>
      </c>
    </row>
    <row r="237" spans="1:13" x14ac:dyDescent="0.35">
      <c r="A237" t="s">
        <v>722</v>
      </c>
      <c r="B237" t="s">
        <v>723</v>
      </c>
      <c r="C237" t="s">
        <v>40</v>
      </c>
      <c r="D237" t="s">
        <v>41</v>
      </c>
      <c r="E237" t="s">
        <v>27</v>
      </c>
      <c r="F237" t="s">
        <v>219</v>
      </c>
      <c r="G237" t="s">
        <v>78</v>
      </c>
      <c r="H237">
        <v>198716</v>
      </c>
      <c r="I237">
        <v>13708.21</v>
      </c>
      <c r="J237" t="s">
        <v>113</v>
      </c>
      <c r="K237" t="s">
        <v>48</v>
      </c>
      <c r="L237">
        <v>2025</v>
      </c>
      <c r="M237" t="s">
        <v>153</v>
      </c>
    </row>
    <row r="238" spans="1:13" x14ac:dyDescent="0.35">
      <c r="A238" t="s">
        <v>724</v>
      </c>
      <c r="B238" t="s">
        <v>725</v>
      </c>
      <c r="C238" t="s">
        <v>25</v>
      </c>
      <c r="D238" t="s">
        <v>83</v>
      </c>
      <c r="E238" t="s">
        <v>34</v>
      </c>
      <c r="F238" t="s">
        <v>58</v>
      </c>
      <c r="G238" t="s">
        <v>36</v>
      </c>
      <c r="H238">
        <v>123250</v>
      </c>
      <c r="I238">
        <v>22203.119999999999</v>
      </c>
      <c r="J238" t="s">
        <v>29</v>
      </c>
      <c r="K238" t="s">
        <v>53</v>
      </c>
      <c r="L238">
        <v>2022</v>
      </c>
      <c r="M238" t="s">
        <v>726</v>
      </c>
    </row>
    <row r="239" spans="1:13" x14ac:dyDescent="0.35">
      <c r="A239" t="s">
        <v>727</v>
      </c>
      <c r="B239" t="s">
        <v>728</v>
      </c>
      <c r="C239" t="s">
        <v>76</v>
      </c>
      <c r="D239" t="s">
        <v>171</v>
      </c>
      <c r="E239" t="s">
        <v>34</v>
      </c>
      <c r="F239" t="s">
        <v>58</v>
      </c>
      <c r="G239" t="s">
        <v>78</v>
      </c>
      <c r="H239">
        <v>186836</v>
      </c>
      <c r="I239">
        <v>14683</v>
      </c>
      <c r="J239" t="s">
        <v>97</v>
      </c>
      <c r="K239" t="s">
        <v>48</v>
      </c>
      <c r="L239">
        <v>2022</v>
      </c>
      <c r="M239" t="s">
        <v>729</v>
      </c>
    </row>
    <row r="240" spans="1:13" x14ac:dyDescent="0.35">
      <c r="A240" t="s">
        <v>730</v>
      </c>
      <c r="B240" t="s">
        <v>731</v>
      </c>
      <c r="C240" t="s">
        <v>25</v>
      </c>
      <c r="D240" t="s">
        <v>83</v>
      </c>
      <c r="E240" t="s">
        <v>138</v>
      </c>
      <c r="F240" t="s">
        <v>208</v>
      </c>
      <c r="G240" t="s">
        <v>78</v>
      </c>
      <c r="H240">
        <v>352186</v>
      </c>
      <c r="I240">
        <v>-33914.04</v>
      </c>
      <c r="J240" t="s">
        <v>79</v>
      </c>
      <c r="K240" t="s">
        <v>48</v>
      </c>
      <c r="L240">
        <v>2021</v>
      </c>
      <c r="M240" t="s">
        <v>732</v>
      </c>
    </row>
    <row r="241" spans="1:13" x14ac:dyDescent="0.35">
      <c r="A241" t="s">
        <v>733</v>
      </c>
      <c r="B241" t="s">
        <v>734</v>
      </c>
      <c r="C241" t="s">
        <v>76</v>
      </c>
      <c r="D241" t="s">
        <v>171</v>
      </c>
      <c r="E241" t="s">
        <v>17</v>
      </c>
      <c r="F241" t="s">
        <v>52</v>
      </c>
      <c r="G241" t="s">
        <v>68</v>
      </c>
      <c r="H241">
        <v>109794</v>
      </c>
      <c r="I241">
        <v>-87772.67</v>
      </c>
      <c r="J241" t="s">
        <v>47</v>
      </c>
      <c r="K241" t="s">
        <v>48</v>
      </c>
      <c r="L241">
        <v>2024</v>
      </c>
      <c r="M241" t="s">
        <v>735</v>
      </c>
    </row>
    <row r="242" spans="1:13" x14ac:dyDescent="0.35">
      <c r="A242" t="s">
        <v>736</v>
      </c>
      <c r="B242" t="s">
        <v>737</v>
      </c>
      <c r="C242" t="s">
        <v>15</v>
      </c>
      <c r="D242" t="s">
        <v>46</v>
      </c>
      <c r="E242" t="s">
        <v>34</v>
      </c>
      <c r="F242" t="s">
        <v>35</v>
      </c>
      <c r="G242" t="s">
        <v>68</v>
      </c>
      <c r="H242">
        <v>39278</v>
      </c>
      <c r="I242">
        <v>7403.5</v>
      </c>
      <c r="J242" t="s">
        <v>97</v>
      </c>
      <c r="K242" t="s">
        <v>53</v>
      </c>
      <c r="L242">
        <v>2021</v>
      </c>
      <c r="M242" t="s">
        <v>420</v>
      </c>
    </row>
    <row r="243" spans="1:13" x14ac:dyDescent="0.35">
      <c r="A243" t="s">
        <v>738</v>
      </c>
      <c r="B243" t="s">
        <v>739</v>
      </c>
      <c r="C243" t="s">
        <v>40</v>
      </c>
      <c r="D243" t="s">
        <v>41</v>
      </c>
      <c r="E243" t="s">
        <v>34</v>
      </c>
      <c r="F243" t="s">
        <v>35</v>
      </c>
      <c r="G243" t="s">
        <v>36</v>
      </c>
      <c r="H243">
        <v>192642</v>
      </c>
      <c r="I243">
        <v>29111.4</v>
      </c>
      <c r="J243" t="s">
        <v>20</v>
      </c>
      <c r="K243" t="s">
        <v>48</v>
      </c>
      <c r="L243">
        <v>2025</v>
      </c>
      <c r="M243" t="s">
        <v>740</v>
      </c>
    </row>
    <row r="244" spans="1:13" x14ac:dyDescent="0.35">
      <c r="A244" t="s">
        <v>741</v>
      </c>
      <c r="B244" t="s">
        <v>647</v>
      </c>
      <c r="C244" t="s">
        <v>25</v>
      </c>
      <c r="D244" t="s">
        <v>83</v>
      </c>
      <c r="E244" t="s">
        <v>138</v>
      </c>
      <c r="F244" t="s">
        <v>139</v>
      </c>
      <c r="G244" t="s">
        <v>68</v>
      </c>
      <c r="H244">
        <v>282993</v>
      </c>
      <c r="I244">
        <v>30058.47</v>
      </c>
      <c r="J244" t="s">
        <v>212</v>
      </c>
      <c r="K244" t="s">
        <v>48</v>
      </c>
      <c r="L244">
        <v>2022</v>
      </c>
      <c r="M244" t="s">
        <v>742</v>
      </c>
    </row>
    <row r="245" spans="1:13" x14ac:dyDescent="0.35">
      <c r="A245" t="s">
        <v>743</v>
      </c>
      <c r="B245" t="s">
        <v>242</v>
      </c>
      <c r="C245" t="s">
        <v>25</v>
      </c>
      <c r="D245" t="s">
        <v>149</v>
      </c>
      <c r="E245" t="s">
        <v>17</v>
      </c>
      <c r="F245" t="s">
        <v>42</v>
      </c>
      <c r="G245" t="s">
        <v>68</v>
      </c>
      <c r="H245">
        <v>98670</v>
      </c>
      <c r="I245">
        <v>-73144.84</v>
      </c>
      <c r="J245" t="s">
        <v>47</v>
      </c>
      <c r="K245" t="s">
        <v>21</v>
      </c>
      <c r="L245">
        <v>2025</v>
      </c>
      <c r="M245" t="s">
        <v>744</v>
      </c>
    </row>
    <row r="246" spans="1:13" x14ac:dyDescent="0.35">
      <c r="A246" t="s">
        <v>745</v>
      </c>
      <c r="B246" t="s">
        <v>746</v>
      </c>
      <c r="C246" t="s">
        <v>15</v>
      </c>
      <c r="D246" t="s">
        <v>16</v>
      </c>
      <c r="E246" t="s">
        <v>34</v>
      </c>
      <c r="F246" t="s">
        <v>101</v>
      </c>
      <c r="G246" t="s">
        <v>36</v>
      </c>
      <c r="H246">
        <v>221840</v>
      </c>
      <c r="I246">
        <v>20913.04</v>
      </c>
      <c r="J246" t="s">
        <v>97</v>
      </c>
      <c r="K246" t="s">
        <v>48</v>
      </c>
      <c r="L246">
        <v>2024</v>
      </c>
      <c r="M246" t="s">
        <v>747</v>
      </c>
    </row>
    <row r="247" spans="1:13" x14ac:dyDescent="0.35">
      <c r="A247" t="s">
        <v>748</v>
      </c>
      <c r="B247" t="s">
        <v>749</v>
      </c>
      <c r="C247" t="s">
        <v>76</v>
      </c>
      <c r="D247" t="s">
        <v>105</v>
      </c>
      <c r="E247" t="s">
        <v>34</v>
      </c>
      <c r="F247" t="s">
        <v>67</v>
      </c>
      <c r="G247" t="s">
        <v>36</v>
      </c>
      <c r="H247">
        <v>186488</v>
      </c>
      <c r="I247">
        <v>41869.300000000003</v>
      </c>
      <c r="J247" t="s">
        <v>20</v>
      </c>
      <c r="K247" t="s">
        <v>30</v>
      </c>
      <c r="L247">
        <v>2024</v>
      </c>
      <c r="M247" t="s">
        <v>678</v>
      </c>
    </row>
    <row r="248" spans="1:13" x14ac:dyDescent="0.35">
      <c r="A248" t="s">
        <v>750</v>
      </c>
      <c r="B248" t="s">
        <v>751</v>
      </c>
      <c r="C248" t="s">
        <v>25</v>
      </c>
      <c r="D248" t="s">
        <v>149</v>
      </c>
      <c r="E248" t="s">
        <v>34</v>
      </c>
      <c r="F248" t="s">
        <v>101</v>
      </c>
      <c r="G248" t="s">
        <v>36</v>
      </c>
      <c r="H248">
        <v>146506</v>
      </c>
      <c r="I248">
        <v>22521.22</v>
      </c>
      <c r="J248" t="s">
        <v>113</v>
      </c>
      <c r="K248" t="s">
        <v>53</v>
      </c>
      <c r="L248">
        <v>2023</v>
      </c>
      <c r="M248" t="s">
        <v>261</v>
      </c>
    </row>
    <row r="249" spans="1:13" x14ac:dyDescent="0.35">
      <c r="A249" t="s">
        <v>752</v>
      </c>
      <c r="B249" t="s">
        <v>753</v>
      </c>
      <c r="C249" t="s">
        <v>40</v>
      </c>
      <c r="D249" t="s">
        <v>41</v>
      </c>
      <c r="E249" t="s">
        <v>27</v>
      </c>
      <c r="F249" t="s">
        <v>204</v>
      </c>
      <c r="G249" t="s">
        <v>78</v>
      </c>
      <c r="H249">
        <v>99134</v>
      </c>
      <c r="I249">
        <v>-4003.72</v>
      </c>
      <c r="J249" t="s">
        <v>47</v>
      </c>
      <c r="K249" t="s">
        <v>48</v>
      </c>
      <c r="L249">
        <v>2025</v>
      </c>
      <c r="M249" t="s">
        <v>754</v>
      </c>
    </row>
    <row r="250" spans="1:13" x14ac:dyDescent="0.35">
      <c r="A250" t="s">
        <v>755</v>
      </c>
      <c r="B250" t="s">
        <v>104</v>
      </c>
      <c r="C250" t="s">
        <v>40</v>
      </c>
      <c r="D250" t="s">
        <v>96</v>
      </c>
      <c r="E250" t="s">
        <v>34</v>
      </c>
      <c r="F250" t="s">
        <v>67</v>
      </c>
      <c r="G250" t="s">
        <v>36</v>
      </c>
      <c r="H250">
        <v>49274</v>
      </c>
      <c r="I250">
        <v>7560.59</v>
      </c>
      <c r="J250" t="s">
        <v>212</v>
      </c>
      <c r="K250" t="s">
        <v>53</v>
      </c>
      <c r="L250">
        <v>2022</v>
      </c>
      <c r="M250" t="s">
        <v>600</v>
      </c>
    </row>
    <row r="251" spans="1:13" x14ac:dyDescent="0.35">
      <c r="A251" t="s">
        <v>756</v>
      </c>
      <c r="B251" t="s">
        <v>757</v>
      </c>
      <c r="C251" t="s">
        <v>40</v>
      </c>
      <c r="D251" t="s">
        <v>96</v>
      </c>
      <c r="E251" t="s">
        <v>34</v>
      </c>
      <c r="F251" t="s">
        <v>58</v>
      </c>
      <c r="G251" t="s">
        <v>36</v>
      </c>
      <c r="H251">
        <v>284832</v>
      </c>
      <c r="I251">
        <v>45887.57</v>
      </c>
      <c r="J251" t="s">
        <v>79</v>
      </c>
      <c r="K251" t="s">
        <v>53</v>
      </c>
      <c r="L251">
        <v>2025</v>
      </c>
      <c r="M251" t="s">
        <v>758</v>
      </c>
    </row>
    <row r="252" spans="1:13" x14ac:dyDescent="0.35">
      <c r="A252" t="s">
        <v>759</v>
      </c>
      <c r="B252" t="s">
        <v>760</v>
      </c>
      <c r="C252" t="s">
        <v>76</v>
      </c>
      <c r="D252" t="s">
        <v>77</v>
      </c>
      <c r="E252" t="s">
        <v>17</v>
      </c>
      <c r="F252" t="s">
        <v>42</v>
      </c>
      <c r="G252" t="s">
        <v>36</v>
      </c>
      <c r="H252">
        <v>119443</v>
      </c>
      <c r="I252">
        <v>-84636.57</v>
      </c>
      <c r="J252" t="s">
        <v>97</v>
      </c>
      <c r="K252" t="s">
        <v>53</v>
      </c>
      <c r="L252">
        <v>2021</v>
      </c>
      <c r="M252" t="s">
        <v>761</v>
      </c>
    </row>
    <row r="253" spans="1:13" x14ac:dyDescent="0.35">
      <c r="A253" t="s">
        <v>762</v>
      </c>
      <c r="B253" t="s">
        <v>763</v>
      </c>
      <c r="C253" t="s">
        <v>15</v>
      </c>
      <c r="D253" t="s">
        <v>46</v>
      </c>
      <c r="E253" t="s">
        <v>17</v>
      </c>
      <c r="F253" t="s">
        <v>52</v>
      </c>
      <c r="G253" t="s">
        <v>19</v>
      </c>
      <c r="H253">
        <v>149741</v>
      </c>
      <c r="I253">
        <v>-122732.41</v>
      </c>
      <c r="J253" t="s">
        <v>59</v>
      </c>
      <c r="K253" t="s">
        <v>30</v>
      </c>
      <c r="L253">
        <v>2024</v>
      </c>
      <c r="M253" t="s">
        <v>764</v>
      </c>
    </row>
    <row r="254" spans="1:13" x14ac:dyDescent="0.35">
      <c r="A254" t="s">
        <v>765</v>
      </c>
      <c r="B254" t="s">
        <v>766</v>
      </c>
      <c r="C254" t="s">
        <v>15</v>
      </c>
      <c r="D254" t="s">
        <v>16</v>
      </c>
      <c r="E254" t="s">
        <v>34</v>
      </c>
      <c r="F254" t="s">
        <v>58</v>
      </c>
      <c r="G254" t="s">
        <v>19</v>
      </c>
      <c r="H254">
        <v>119530</v>
      </c>
      <c r="I254">
        <v>10694.98</v>
      </c>
      <c r="J254" t="s">
        <v>212</v>
      </c>
      <c r="K254" t="s">
        <v>30</v>
      </c>
      <c r="L254">
        <v>2023</v>
      </c>
      <c r="M254" t="s">
        <v>767</v>
      </c>
    </row>
    <row r="255" spans="1:13" x14ac:dyDescent="0.35">
      <c r="A255" t="s">
        <v>768</v>
      </c>
      <c r="B255" t="s">
        <v>769</v>
      </c>
      <c r="C255" t="s">
        <v>40</v>
      </c>
      <c r="D255" t="s">
        <v>96</v>
      </c>
      <c r="E255" t="s">
        <v>34</v>
      </c>
      <c r="F255" t="s">
        <v>58</v>
      </c>
      <c r="G255" t="s">
        <v>19</v>
      </c>
      <c r="H255">
        <v>128328</v>
      </c>
      <c r="I255">
        <v>16359.08</v>
      </c>
      <c r="J255" t="s">
        <v>20</v>
      </c>
      <c r="K255" t="s">
        <v>53</v>
      </c>
      <c r="L255">
        <v>2024</v>
      </c>
      <c r="M255" t="s">
        <v>770</v>
      </c>
    </row>
    <row r="256" spans="1:13" x14ac:dyDescent="0.35">
      <c r="A256" t="s">
        <v>771</v>
      </c>
      <c r="B256" t="s">
        <v>75</v>
      </c>
      <c r="C256" t="s">
        <v>25</v>
      </c>
      <c r="D256" t="s">
        <v>149</v>
      </c>
      <c r="E256" t="s">
        <v>27</v>
      </c>
      <c r="F256" t="s">
        <v>379</v>
      </c>
      <c r="G256" t="s">
        <v>19</v>
      </c>
      <c r="H256">
        <v>424639</v>
      </c>
      <c r="I256">
        <v>39625.480000000003</v>
      </c>
      <c r="J256" t="s">
        <v>212</v>
      </c>
      <c r="K256" t="s">
        <v>21</v>
      </c>
      <c r="L256">
        <v>2025</v>
      </c>
      <c r="M256" t="s">
        <v>168</v>
      </c>
    </row>
    <row r="257" spans="1:13" x14ac:dyDescent="0.35">
      <c r="A257" t="s">
        <v>772</v>
      </c>
      <c r="B257" t="s">
        <v>773</v>
      </c>
      <c r="C257" t="s">
        <v>40</v>
      </c>
      <c r="D257" t="s">
        <v>41</v>
      </c>
      <c r="E257" t="s">
        <v>34</v>
      </c>
      <c r="F257" t="s">
        <v>35</v>
      </c>
      <c r="G257" t="s">
        <v>78</v>
      </c>
      <c r="H257">
        <v>104794</v>
      </c>
      <c r="I257">
        <v>5255.36</v>
      </c>
      <c r="J257" t="s">
        <v>59</v>
      </c>
      <c r="K257" t="s">
        <v>48</v>
      </c>
      <c r="L257">
        <v>2025</v>
      </c>
      <c r="M257" t="s">
        <v>267</v>
      </c>
    </row>
    <row r="258" spans="1:13" x14ac:dyDescent="0.35">
      <c r="A258" t="s">
        <v>774</v>
      </c>
      <c r="B258" t="s">
        <v>775</v>
      </c>
      <c r="C258" t="s">
        <v>15</v>
      </c>
      <c r="D258" t="s">
        <v>46</v>
      </c>
      <c r="E258" t="s">
        <v>17</v>
      </c>
      <c r="F258" t="s">
        <v>52</v>
      </c>
      <c r="G258" t="s">
        <v>36</v>
      </c>
      <c r="H258">
        <v>37906</v>
      </c>
      <c r="I258">
        <v>-35908.81</v>
      </c>
      <c r="J258" t="s">
        <v>20</v>
      </c>
      <c r="K258" t="s">
        <v>21</v>
      </c>
      <c r="L258">
        <v>2022</v>
      </c>
      <c r="M258" t="s">
        <v>776</v>
      </c>
    </row>
    <row r="259" spans="1:13" x14ac:dyDescent="0.35">
      <c r="A259" t="s">
        <v>777</v>
      </c>
      <c r="B259" t="s">
        <v>778</v>
      </c>
      <c r="C259" t="s">
        <v>76</v>
      </c>
      <c r="D259" t="s">
        <v>171</v>
      </c>
      <c r="E259" t="s">
        <v>17</v>
      </c>
      <c r="F259" t="s">
        <v>18</v>
      </c>
      <c r="G259" t="s">
        <v>68</v>
      </c>
      <c r="H259">
        <v>6976</v>
      </c>
      <c r="I259">
        <v>-5842.5</v>
      </c>
      <c r="J259" t="s">
        <v>59</v>
      </c>
      <c r="K259" t="s">
        <v>30</v>
      </c>
      <c r="L259">
        <v>2021</v>
      </c>
      <c r="M259" t="s">
        <v>779</v>
      </c>
    </row>
    <row r="260" spans="1:13" x14ac:dyDescent="0.35">
      <c r="A260" t="s">
        <v>780</v>
      </c>
      <c r="B260" t="s">
        <v>781</v>
      </c>
      <c r="C260" t="s">
        <v>25</v>
      </c>
      <c r="D260" t="s">
        <v>149</v>
      </c>
      <c r="E260" t="s">
        <v>34</v>
      </c>
      <c r="F260" t="s">
        <v>101</v>
      </c>
      <c r="G260" t="s">
        <v>78</v>
      </c>
      <c r="H260">
        <v>151933</v>
      </c>
      <c r="I260">
        <v>9108.76</v>
      </c>
      <c r="J260" t="s">
        <v>47</v>
      </c>
      <c r="K260" t="s">
        <v>30</v>
      </c>
      <c r="L260">
        <v>2023</v>
      </c>
      <c r="M260" t="s">
        <v>782</v>
      </c>
    </row>
    <row r="261" spans="1:13" x14ac:dyDescent="0.35">
      <c r="A261" t="s">
        <v>783</v>
      </c>
      <c r="B261" t="s">
        <v>784</v>
      </c>
      <c r="C261" t="s">
        <v>15</v>
      </c>
      <c r="D261" t="s">
        <v>46</v>
      </c>
      <c r="E261" t="s">
        <v>17</v>
      </c>
      <c r="F261" t="s">
        <v>72</v>
      </c>
      <c r="G261" t="s">
        <v>78</v>
      </c>
      <c r="H261">
        <v>79231</v>
      </c>
      <c r="I261">
        <v>-76417.990000000005</v>
      </c>
      <c r="J261" t="s">
        <v>29</v>
      </c>
      <c r="K261" t="s">
        <v>53</v>
      </c>
      <c r="L261">
        <v>2021</v>
      </c>
      <c r="M261" t="s">
        <v>234</v>
      </c>
    </row>
    <row r="262" spans="1:13" x14ac:dyDescent="0.35">
      <c r="A262" t="s">
        <v>785</v>
      </c>
      <c r="B262" t="s">
        <v>786</v>
      </c>
      <c r="C262" t="s">
        <v>25</v>
      </c>
      <c r="D262" t="s">
        <v>26</v>
      </c>
      <c r="E262" t="s">
        <v>27</v>
      </c>
      <c r="F262" t="s">
        <v>219</v>
      </c>
      <c r="G262" t="s">
        <v>19</v>
      </c>
      <c r="H262">
        <v>928464</v>
      </c>
      <c r="I262">
        <v>20074.95</v>
      </c>
      <c r="J262" t="s">
        <v>212</v>
      </c>
      <c r="K262" t="s">
        <v>53</v>
      </c>
      <c r="L262">
        <v>2023</v>
      </c>
      <c r="M262" t="s">
        <v>787</v>
      </c>
    </row>
    <row r="263" spans="1:13" x14ac:dyDescent="0.35">
      <c r="A263" t="s">
        <v>788</v>
      </c>
      <c r="B263" t="s">
        <v>789</v>
      </c>
      <c r="C263" t="s">
        <v>40</v>
      </c>
      <c r="D263" t="s">
        <v>66</v>
      </c>
      <c r="E263" t="s">
        <v>34</v>
      </c>
      <c r="F263" t="s">
        <v>101</v>
      </c>
      <c r="G263" t="s">
        <v>19</v>
      </c>
      <c r="H263">
        <v>248165</v>
      </c>
      <c r="I263">
        <v>35005.980000000003</v>
      </c>
      <c r="J263" t="s">
        <v>59</v>
      </c>
      <c r="K263" t="s">
        <v>30</v>
      </c>
      <c r="L263">
        <v>2025</v>
      </c>
      <c r="M263" t="s">
        <v>790</v>
      </c>
    </row>
    <row r="264" spans="1:13" x14ac:dyDescent="0.35">
      <c r="A264" t="s">
        <v>791</v>
      </c>
      <c r="B264" t="s">
        <v>792</v>
      </c>
      <c r="C264" t="s">
        <v>40</v>
      </c>
      <c r="D264" t="s">
        <v>96</v>
      </c>
      <c r="E264" t="s">
        <v>34</v>
      </c>
      <c r="F264" t="s">
        <v>101</v>
      </c>
      <c r="G264" t="s">
        <v>36</v>
      </c>
      <c r="H264">
        <v>162836</v>
      </c>
      <c r="I264">
        <v>8726.83</v>
      </c>
      <c r="J264" t="s">
        <v>97</v>
      </c>
      <c r="K264" t="s">
        <v>30</v>
      </c>
      <c r="L264">
        <v>2021</v>
      </c>
      <c r="M264" t="s">
        <v>54</v>
      </c>
    </row>
    <row r="265" spans="1:13" x14ac:dyDescent="0.35">
      <c r="A265" t="s">
        <v>793</v>
      </c>
      <c r="B265" t="s">
        <v>794</v>
      </c>
      <c r="C265" t="s">
        <v>76</v>
      </c>
      <c r="D265" t="s">
        <v>77</v>
      </c>
      <c r="E265" t="s">
        <v>34</v>
      </c>
      <c r="F265" t="s">
        <v>58</v>
      </c>
      <c r="G265" t="s">
        <v>19</v>
      </c>
      <c r="H265">
        <v>216107</v>
      </c>
      <c r="I265">
        <v>47638.68</v>
      </c>
      <c r="J265" t="s">
        <v>59</v>
      </c>
      <c r="K265" t="s">
        <v>48</v>
      </c>
      <c r="L265">
        <v>2024</v>
      </c>
      <c r="M265" t="s">
        <v>90</v>
      </c>
    </row>
    <row r="266" spans="1:13" x14ac:dyDescent="0.35">
      <c r="A266" t="s">
        <v>795</v>
      </c>
      <c r="B266" t="s">
        <v>796</v>
      </c>
      <c r="C266" t="s">
        <v>40</v>
      </c>
      <c r="D266" t="s">
        <v>66</v>
      </c>
      <c r="E266" t="s">
        <v>34</v>
      </c>
      <c r="F266" t="s">
        <v>67</v>
      </c>
      <c r="G266" t="s">
        <v>36</v>
      </c>
      <c r="H266">
        <v>49374</v>
      </c>
      <c r="I266">
        <v>3623.63</v>
      </c>
      <c r="J266" t="s">
        <v>97</v>
      </c>
      <c r="K266" t="s">
        <v>53</v>
      </c>
      <c r="L266">
        <v>2024</v>
      </c>
      <c r="M266" t="s">
        <v>797</v>
      </c>
    </row>
    <row r="267" spans="1:13" x14ac:dyDescent="0.35">
      <c r="A267" t="s">
        <v>798</v>
      </c>
      <c r="B267" t="s">
        <v>799</v>
      </c>
      <c r="C267" t="s">
        <v>40</v>
      </c>
      <c r="D267" t="s">
        <v>41</v>
      </c>
      <c r="E267" t="s">
        <v>17</v>
      </c>
      <c r="F267" t="s">
        <v>18</v>
      </c>
      <c r="G267" t="s">
        <v>36</v>
      </c>
      <c r="H267">
        <v>112433</v>
      </c>
      <c r="I267">
        <v>-98549.99</v>
      </c>
      <c r="J267" t="s">
        <v>59</v>
      </c>
      <c r="K267" t="s">
        <v>53</v>
      </c>
      <c r="L267">
        <v>2023</v>
      </c>
      <c r="M267" t="s">
        <v>800</v>
      </c>
    </row>
    <row r="268" spans="1:13" x14ac:dyDescent="0.35">
      <c r="A268" t="s">
        <v>801</v>
      </c>
      <c r="B268" t="s">
        <v>802</v>
      </c>
      <c r="C268" t="s">
        <v>40</v>
      </c>
      <c r="D268" t="s">
        <v>41</v>
      </c>
      <c r="E268" t="s">
        <v>138</v>
      </c>
      <c r="F268" t="s">
        <v>139</v>
      </c>
      <c r="G268" t="s">
        <v>36</v>
      </c>
      <c r="H268">
        <v>37101</v>
      </c>
      <c r="I268">
        <v>2131.52</v>
      </c>
      <c r="J268" t="s">
        <v>59</v>
      </c>
      <c r="K268" t="s">
        <v>21</v>
      </c>
      <c r="L268">
        <v>2022</v>
      </c>
      <c r="M268" t="s">
        <v>803</v>
      </c>
    </row>
    <row r="269" spans="1:13" x14ac:dyDescent="0.35">
      <c r="A269" t="s">
        <v>804</v>
      </c>
      <c r="B269" t="s">
        <v>805</v>
      </c>
      <c r="C269" t="s">
        <v>76</v>
      </c>
      <c r="D269" t="s">
        <v>105</v>
      </c>
      <c r="E269" t="s">
        <v>17</v>
      </c>
      <c r="F269" t="s">
        <v>18</v>
      </c>
      <c r="G269" t="s">
        <v>68</v>
      </c>
      <c r="H269">
        <v>16058</v>
      </c>
      <c r="I269">
        <v>-13784.96</v>
      </c>
      <c r="J269" t="s">
        <v>20</v>
      </c>
      <c r="K269" t="s">
        <v>30</v>
      </c>
      <c r="L269">
        <v>2022</v>
      </c>
      <c r="M269" t="s">
        <v>246</v>
      </c>
    </row>
    <row r="270" spans="1:13" x14ac:dyDescent="0.35">
      <c r="A270" t="s">
        <v>806</v>
      </c>
      <c r="B270" t="s">
        <v>807</v>
      </c>
      <c r="C270" t="s">
        <v>40</v>
      </c>
      <c r="D270" t="s">
        <v>41</v>
      </c>
      <c r="E270" t="s">
        <v>34</v>
      </c>
      <c r="F270" t="s">
        <v>58</v>
      </c>
      <c r="G270" t="s">
        <v>36</v>
      </c>
      <c r="H270">
        <v>270027</v>
      </c>
      <c r="I270">
        <v>60777.98</v>
      </c>
      <c r="J270" t="s">
        <v>97</v>
      </c>
      <c r="K270" t="s">
        <v>53</v>
      </c>
      <c r="L270">
        <v>2022</v>
      </c>
      <c r="M270" t="s">
        <v>808</v>
      </c>
    </row>
    <row r="271" spans="1:13" x14ac:dyDescent="0.35">
      <c r="A271" t="s">
        <v>809</v>
      </c>
      <c r="B271" t="s">
        <v>810</v>
      </c>
      <c r="C271" t="s">
        <v>25</v>
      </c>
      <c r="D271" t="s">
        <v>83</v>
      </c>
      <c r="E271" t="s">
        <v>34</v>
      </c>
      <c r="F271" t="s">
        <v>101</v>
      </c>
      <c r="G271" t="s">
        <v>19</v>
      </c>
      <c r="H271">
        <v>93695</v>
      </c>
      <c r="I271">
        <v>10513.44</v>
      </c>
      <c r="J271" t="s">
        <v>97</v>
      </c>
      <c r="K271" t="s">
        <v>30</v>
      </c>
      <c r="L271">
        <v>2023</v>
      </c>
      <c r="M271" t="s">
        <v>811</v>
      </c>
    </row>
    <row r="272" spans="1:13" x14ac:dyDescent="0.35">
      <c r="A272" t="s">
        <v>812</v>
      </c>
      <c r="B272" t="s">
        <v>813</v>
      </c>
      <c r="C272" t="s">
        <v>76</v>
      </c>
      <c r="D272" t="s">
        <v>77</v>
      </c>
      <c r="E272" t="s">
        <v>17</v>
      </c>
      <c r="F272" t="s">
        <v>42</v>
      </c>
      <c r="G272" t="s">
        <v>36</v>
      </c>
      <c r="H272">
        <v>115056</v>
      </c>
      <c r="I272">
        <v>-81900.710000000006</v>
      </c>
      <c r="J272" t="s">
        <v>79</v>
      </c>
      <c r="K272" t="s">
        <v>53</v>
      </c>
      <c r="L272">
        <v>2025</v>
      </c>
      <c r="M272" t="s">
        <v>814</v>
      </c>
    </row>
    <row r="273" spans="1:13" x14ac:dyDescent="0.35">
      <c r="A273" t="s">
        <v>815</v>
      </c>
      <c r="B273" t="s">
        <v>538</v>
      </c>
      <c r="C273" t="s">
        <v>15</v>
      </c>
      <c r="D273" t="s">
        <v>46</v>
      </c>
      <c r="E273" t="s">
        <v>17</v>
      </c>
      <c r="F273" t="s">
        <v>72</v>
      </c>
      <c r="G273" t="s">
        <v>78</v>
      </c>
      <c r="H273">
        <v>128400</v>
      </c>
      <c r="I273">
        <v>-115275.59</v>
      </c>
      <c r="J273" t="s">
        <v>79</v>
      </c>
      <c r="K273" t="s">
        <v>53</v>
      </c>
      <c r="L273">
        <v>2024</v>
      </c>
      <c r="M273" t="s">
        <v>353</v>
      </c>
    </row>
    <row r="274" spans="1:13" x14ac:dyDescent="0.35">
      <c r="A274" t="s">
        <v>816</v>
      </c>
      <c r="B274" t="s">
        <v>817</v>
      </c>
      <c r="C274" t="s">
        <v>15</v>
      </c>
      <c r="D274" t="s">
        <v>46</v>
      </c>
      <c r="E274" t="s">
        <v>17</v>
      </c>
      <c r="F274" t="s">
        <v>72</v>
      </c>
      <c r="G274" t="s">
        <v>36</v>
      </c>
      <c r="H274">
        <v>165959</v>
      </c>
      <c r="I274">
        <v>-117753.15</v>
      </c>
      <c r="J274" t="s">
        <v>212</v>
      </c>
      <c r="K274" t="s">
        <v>48</v>
      </c>
      <c r="L274">
        <v>2025</v>
      </c>
      <c r="M274" t="s">
        <v>270</v>
      </c>
    </row>
    <row r="275" spans="1:13" x14ac:dyDescent="0.35">
      <c r="A275" t="s">
        <v>818</v>
      </c>
      <c r="B275" t="s">
        <v>819</v>
      </c>
      <c r="C275" t="s">
        <v>40</v>
      </c>
      <c r="D275" t="s">
        <v>41</v>
      </c>
      <c r="E275" t="s">
        <v>17</v>
      </c>
      <c r="F275" t="s">
        <v>52</v>
      </c>
      <c r="G275" t="s">
        <v>36</v>
      </c>
      <c r="H275">
        <v>32479</v>
      </c>
      <c r="I275">
        <v>-26477.89</v>
      </c>
      <c r="J275" t="s">
        <v>212</v>
      </c>
      <c r="K275" t="s">
        <v>48</v>
      </c>
      <c r="L275">
        <v>2022</v>
      </c>
      <c r="M275" t="s">
        <v>820</v>
      </c>
    </row>
    <row r="276" spans="1:13" x14ac:dyDescent="0.35">
      <c r="A276" t="s">
        <v>821</v>
      </c>
      <c r="B276" t="s">
        <v>822</v>
      </c>
      <c r="C276" t="s">
        <v>76</v>
      </c>
      <c r="D276" t="s">
        <v>105</v>
      </c>
      <c r="E276" t="s">
        <v>34</v>
      </c>
      <c r="F276" t="s">
        <v>101</v>
      </c>
      <c r="G276" t="s">
        <v>78</v>
      </c>
      <c r="H276">
        <v>70989</v>
      </c>
      <c r="I276">
        <v>9652.89</v>
      </c>
      <c r="J276" t="s">
        <v>29</v>
      </c>
      <c r="K276" t="s">
        <v>30</v>
      </c>
      <c r="L276">
        <v>2021</v>
      </c>
      <c r="M276" t="s">
        <v>823</v>
      </c>
    </row>
    <row r="277" spans="1:13" x14ac:dyDescent="0.35">
      <c r="A277" t="s">
        <v>824</v>
      </c>
      <c r="B277" t="s">
        <v>825</v>
      </c>
      <c r="C277" t="s">
        <v>40</v>
      </c>
      <c r="D277" t="s">
        <v>96</v>
      </c>
      <c r="E277" t="s">
        <v>34</v>
      </c>
      <c r="F277" t="s">
        <v>67</v>
      </c>
      <c r="G277" t="s">
        <v>68</v>
      </c>
      <c r="H277">
        <v>176373</v>
      </c>
      <c r="I277">
        <v>38679.94</v>
      </c>
      <c r="J277" t="s">
        <v>79</v>
      </c>
      <c r="K277" t="s">
        <v>48</v>
      </c>
      <c r="L277">
        <v>2024</v>
      </c>
      <c r="M277" t="s">
        <v>332</v>
      </c>
    </row>
    <row r="278" spans="1:13" x14ac:dyDescent="0.35">
      <c r="A278" t="s">
        <v>826</v>
      </c>
      <c r="B278" t="s">
        <v>827</v>
      </c>
      <c r="C278" t="s">
        <v>15</v>
      </c>
      <c r="D278" t="s">
        <v>46</v>
      </c>
      <c r="E278" t="s">
        <v>17</v>
      </c>
      <c r="F278" t="s">
        <v>42</v>
      </c>
      <c r="G278" t="s">
        <v>78</v>
      </c>
      <c r="H278">
        <v>121838</v>
      </c>
      <c r="I278">
        <v>-89972.9</v>
      </c>
      <c r="J278" t="s">
        <v>79</v>
      </c>
      <c r="K278" t="s">
        <v>21</v>
      </c>
      <c r="L278">
        <v>2022</v>
      </c>
      <c r="M278" t="s">
        <v>828</v>
      </c>
    </row>
    <row r="279" spans="1:13" x14ac:dyDescent="0.35">
      <c r="A279" t="s">
        <v>829</v>
      </c>
      <c r="B279" t="s">
        <v>830</v>
      </c>
      <c r="C279" t="s">
        <v>25</v>
      </c>
      <c r="D279" t="s">
        <v>149</v>
      </c>
      <c r="E279" t="s">
        <v>17</v>
      </c>
      <c r="F279" t="s">
        <v>72</v>
      </c>
      <c r="G279" t="s">
        <v>78</v>
      </c>
      <c r="H279">
        <v>103166</v>
      </c>
      <c r="I279">
        <v>-77676.320000000007</v>
      </c>
      <c r="J279" t="s">
        <v>79</v>
      </c>
      <c r="K279" t="s">
        <v>48</v>
      </c>
      <c r="L279">
        <v>2023</v>
      </c>
      <c r="M279" t="s">
        <v>831</v>
      </c>
    </row>
    <row r="280" spans="1:13" x14ac:dyDescent="0.35">
      <c r="A280" t="s">
        <v>832</v>
      </c>
      <c r="B280" t="s">
        <v>65</v>
      </c>
      <c r="C280" t="s">
        <v>15</v>
      </c>
      <c r="D280" t="s">
        <v>46</v>
      </c>
      <c r="E280" t="s">
        <v>17</v>
      </c>
      <c r="F280" t="s">
        <v>52</v>
      </c>
      <c r="G280" t="s">
        <v>36</v>
      </c>
      <c r="H280">
        <v>135674</v>
      </c>
      <c r="I280">
        <v>-100404.43</v>
      </c>
      <c r="J280" t="s">
        <v>47</v>
      </c>
      <c r="K280" t="s">
        <v>21</v>
      </c>
      <c r="L280">
        <v>2025</v>
      </c>
      <c r="M280" t="s">
        <v>833</v>
      </c>
    </row>
    <row r="281" spans="1:13" x14ac:dyDescent="0.35">
      <c r="A281" t="s">
        <v>834</v>
      </c>
      <c r="B281" t="s">
        <v>491</v>
      </c>
      <c r="C281" t="s">
        <v>25</v>
      </c>
      <c r="D281" t="s">
        <v>83</v>
      </c>
      <c r="E281" t="s">
        <v>17</v>
      </c>
      <c r="F281" t="s">
        <v>72</v>
      </c>
      <c r="G281" t="s">
        <v>78</v>
      </c>
      <c r="H281">
        <v>14056</v>
      </c>
      <c r="I281">
        <v>-12992.21</v>
      </c>
      <c r="J281" t="s">
        <v>79</v>
      </c>
      <c r="K281" t="s">
        <v>48</v>
      </c>
      <c r="L281">
        <v>2022</v>
      </c>
      <c r="M281" t="s">
        <v>835</v>
      </c>
    </row>
    <row r="282" spans="1:13" x14ac:dyDescent="0.35">
      <c r="A282" t="s">
        <v>836</v>
      </c>
      <c r="B282" t="s">
        <v>837</v>
      </c>
      <c r="C282" t="s">
        <v>15</v>
      </c>
      <c r="D282" t="s">
        <v>46</v>
      </c>
      <c r="E282" t="s">
        <v>34</v>
      </c>
      <c r="F282" t="s">
        <v>67</v>
      </c>
      <c r="G282" t="s">
        <v>68</v>
      </c>
      <c r="H282">
        <v>298014</v>
      </c>
      <c r="I282">
        <v>66532.59</v>
      </c>
      <c r="J282" t="s">
        <v>20</v>
      </c>
      <c r="K282" t="s">
        <v>30</v>
      </c>
      <c r="L282">
        <v>2023</v>
      </c>
      <c r="M282" t="s">
        <v>838</v>
      </c>
    </row>
    <row r="283" spans="1:13" x14ac:dyDescent="0.35">
      <c r="A283" t="s">
        <v>839</v>
      </c>
      <c r="B283" t="s">
        <v>840</v>
      </c>
      <c r="C283" t="s">
        <v>40</v>
      </c>
      <c r="D283" t="s">
        <v>41</v>
      </c>
      <c r="E283" t="s">
        <v>138</v>
      </c>
      <c r="F283" t="s">
        <v>139</v>
      </c>
      <c r="G283" t="s">
        <v>36</v>
      </c>
      <c r="H283">
        <v>139844</v>
      </c>
      <c r="I283">
        <v>4641.87</v>
      </c>
      <c r="J283" t="s">
        <v>97</v>
      </c>
      <c r="K283" t="s">
        <v>30</v>
      </c>
      <c r="L283">
        <v>2022</v>
      </c>
      <c r="M283" t="s">
        <v>841</v>
      </c>
    </row>
    <row r="284" spans="1:13" x14ac:dyDescent="0.35">
      <c r="A284" t="s">
        <v>842</v>
      </c>
      <c r="B284" t="s">
        <v>843</v>
      </c>
      <c r="C284" t="s">
        <v>15</v>
      </c>
      <c r="D284" t="s">
        <v>57</v>
      </c>
      <c r="E284" t="s">
        <v>17</v>
      </c>
      <c r="F284" t="s">
        <v>72</v>
      </c>
      <c r="G284" t="s">
        <v>36</v>
      </c>
      <c r="H284">
        <v>196157</v>
      </c>
      <c r="I284">
        <v>-178797.98</v>
      </c>
      <c r="J284" t="s">
        <v>113</v>
      </c>
      <c r="K284" t="s">
        <v>30</v>
      </c>
      <c r="L284">
        <v>2025</v>
      </c>
      <c r="M284" t="s">
        <v>844</v>
      </c>
    </row>
    <row r="285" spans="1:13" x14ac:dyDescent="0.35">
      <c r="A285" t="s">
        <v>845</v>
      </c>
      <c r="B285" t="s">
        <v>846</v>
      </c>
      <c r="C285" t="s">
        <v>25</v>
      </c>
      <c r="D285" t="s">
        <v>149</v>
      </c>
      <c r="E285" t="s">
        <v>17</v>
      </c>
      <c r="F285" t="s">
        <v>18</v>
      </c>
      <c r="G285" t="s">
        <v>19</v>
      </c>
      <c r="H285">
        <v>100624</v>
      </c>
      <c r="I285">
        <v>-84604.51</v>
      </c>
      <c r="J285" t="s">
        <v>113</v>
      </c>
      <c r="K285" t="s">
        <v>30</v>
      </c>
      <c r="L285">
        <v>2023</v>
      </c>
      <c r="M285" t="s">
        <v>847</v>
      </c>
    </row>
    <row r="286" spans="1:13" x14ac:dyDescent="0.35">
      <c r="A286" t="s">
        <v>848</v>
      </c>
      <c r="B286" t="s">
        <v>849</v>
      </c>
      <c r="C286" t="s">
        <v>40</v>
      </c>
      <c r="D286" t="s">
        <v>96</v>
      </c>
      <c r="E286" t="s">
        <v>27</v>
      </c>
      <c r="F286" t="s">
        <v>379</v>
      </c>
      <c r="G286" t="s">
        <v>19</v>
      </c>
      <c r="H286">
        <v>407444</v>
      </c>
      <c r="I286">
        <v>34462.04</v>
      </c>
      <c r="J286" t="s">
        <v>79</v>
      </c>
      <c r="K286" t="s">
        <v>53</v>
      </c>
      <c r="L286">
        <v>2025</v>
      </c>
      <c r="M286" t="s">
        <v>850</v>
      </c>
    </row>
    <row r="287" spans="1:13" x14ac:dyDescent="0.35">
      <c r="A287" t="s">
        <v>851</v>
      </c>
      <c r="B287" t="s">
        <v>447</v>
      </c>
      <c r="C287" t="s">
        <v>25</v>
      </c>
      <c r="D287" t="s">
        <v>83</v>
      </c>
      <c r="E287" t="s">
        <v>34</v>
      </c>
      <c r="F287" t="s">
        <v>67</v>
      </c>
      <c r="G287" t="s">
        <v>19</v>
      </c>
      <c r="H287">
        <v>20565</v>
      </c>
      <c r="I287">
        <v>3288.83</v>
      </c>
      <c r="J287" t="s">
        <v>20</v>
      </c>
      <c r="K287" t="s">
        <v>30</v>
      </c>
      <c r="L287">
        <v>2023</v>
      </c>
      <c r="M287" t="s">
        <v>852</v>
      </c>
    </row>
    <row r="288" spans="1:13" x14ac:dyDescent="0.35">
      <c r="A288" t="s">
        <v>853</v>
      </c>
      <c r="B288" t="s">
        <v>854</v>
      </c>
      <c r="C288" t="s">
        <v>15</v>
      </c>
      <c r="D288" t="s">
        <v>46</v>
      </c>
      <c r="E288" t="s">
        <v>17</v>
      </c>
      <c r="F288" t="s">
        <v>42</v>
      </c>
      <c r="G288" t="s">
        <v>68</v>
      </c>
      <c r="H288">
        <v>71923</v>
      </c>
      <c r="I288">
        <v>-70048.509999999995</v>
      </c>
      <c r="J288" t="s">
        <v>20</v>
      </c>
      <c r="K288" t="s">
        <v>48</v>
      </c>
      <c r="L288">
        <v>2025</v>
      </c>
      <c r="M288" t="s">
        <v>855</v>
      </c>
    </row>
    <row r="289" spans="1:13" x14ac:dyDescent="0.35">
      <c r="A289" t="s">
        <v>856</v>
      </c>
      <c r="B289" t="s">
        <v>254</v>
      </c>
      <c r="C289" t="s">
        <v>15</v>
      </c>
      <c r="D289" t="s">
        <v>57</v>
      </c>
      <c r="E289" t="s">
        <v>34</v>
      </c>
      <c r="F289" t="s">
        <v>67</v>
      </c>
      <c r="G289" t="s">
        <v>19</v>
      </c>
      <c r="H289">
        <v>159766</v>
      </c>
      <c r="I289">
        <v>14014.05</v>
      </c>
      <c r="J289" t="s">
        <v>113</v>
      </c>
      <c r="K289" t="s">
        <v>21</v>
      </c>
      <c r="L289">
        <v>2021</v>
      </c>
      <c r="M289" t="s">
        <v>857</v>
      </c>
    </row>
    <row r="290" spans="1:13" x14ac:dyDescent="0.35">
      <c r="A290" t="s">
        <v>858</v>
      </c>
      <c r="B290" t="s">
        <v>859</v>
      </c>
      <c r="C290" t="s">
        <v>15</v>
      </c>
      <c r="D290" t="s">
        <v>46</v>
      </c>
      <c r="E290" t="s">
        <v>17</v>
      </c>
      <c r="F290" t="s">
        <v>112</v>
      </c>
      <c r="G290" t="s">
        <v>19</v>
      </c>
      <c r="H290">
        <v>26252</v>
      </c>
      <c r="I290">
        <v>-22798.74</v>
      </c>
      <c r="J290" t="s">
        <v>59</v>
      </c>
      <c r="K290" t="s">
        <v>21</v>
      </c>
      <c r="L290">
        <v>2023</v>
      </c>
      <c r="M290" t="s">
        <v>860</v>
      </c>
    </row>
    <row r="291" spans="1:13" x14ac:dyDescent="0.35">
      <c r="A291" t="s">
        <v>861</v>
      </c>
      <c r="B291" t="s">
        <v>862</v>
      </c>
      <c r="C291" t="s">
        <v>15</v>
      </c>
      <c r="D291" t="s">
        <v>57</v>
      </c>
      <c r="E291" t="s">
        <v>17</v>
      </c>
      <c r="F291" t="s">
        <v>52</v>
      </c>
      <c r="G291" t="s">
        <v>68</v>
      </c>
      <c r="H291">
        <v>147152</v>
      </c>
      <c r="I291">
        <v>-121769.84</v>
      </c>
      <c r="J291" t="s">
        <v>212</v>
      </c>
      <c r="K291" t="s">
        <v>48</v>
      </c>
      <c r="L291">
        <v>2022</v>
      </c>
      <c r="M291" t="s">
        <v>863</v>
      </c>
    </row>
    <row r="292" spans="1:13" x14ac:dyDescent="0.35">
      <c r="A292" t="s">
        <v>864</v>
      </c>
      <c r="B292" t="s">
        <v>865</v>
      </c>
      <c r="C292" t="s">
        <v>40</v>
      </c>
      <c r="D292" t="s">
        <v>66</v>
      </c>
      <c r="E292" t="s">
        <v>34</v>
      </c>
      <c r="F292" t="s">
        <v>67</v>
      </c>
      <c r="G292" t="s">
        <v>68</v>
      </c>
      <c r="H292">
        <v>239106</v>
      </c>
      <c r="I292">
        <v>52817.41</v>
      </c>
      <c r="J292" t="s">
        <v>59</v>
      </c>
      <c r="K292" t="s">
        <v>30</v>
      </c>
      <c r="L292">
        <v>2022</v>
      </c>
      <c r="M292" t="s">
        <v>866</v>
      </c>
    </row>
    <row r="293" spans="1:13" x14ac:dyDescent="0.35">
      <c r="A293" t="s">
        <v>867</v>
      </c>
      <c r="B293" t="s">
        <v>868</v>
      </c>
      <c r="C293" t="s">
        <v>25</v>
      </c>
      <c r="D293" t="s">
        <v>26</v>
      </c>
      <c r="E293" t="s">
        <v>34</v>
      </c>
      <c r="F293" t="s">
        <v>58</v>
      </c>
      <c r="G293" t="s">
        <v>78</v>
      </c>
      <c r="H293">
        <v>85153</v>
      </c>
      <c r="I293">
        <v>12722.94</v>
      </c>
      <c r="J293" t="s">
        <v>113</v>
      </c>
      <c r="K293" t="s">
        <v>21</v>
      </c>
      <c r="L293">
        <v>2023</v>
      </c>
      <c r="M293" t="s">
        <v>869</v>
      </c>
    </row>
    <row r="294" spans="1:13" x14ac:dyDescent="0.35">
      <c r="A294" t="s">
        <v>870</v>
      </c>
      <c r="B294" t="s">
        <v>871</v>
      </c>
      <c r="C294" t="s">
        <v>40</v>
      </c>
      <c r="D294" t="s">
        <v>96</v>
      </c>
      <c r="E294" t="s">
        <v>34</v>
      </c>
      <c r="F294" t="s">
        <v>67</v>
      </c>
      <c r="G294" t="s">
        <v>78</v>
      </c>
      <c r="H294">
        <v>74472</v>
      </c>
      <c r="I294">
        <v>8860.65</v>
      </c>
      <c r="J294" t="s">
        <v>97</v>
      </c>
      <c r="K294" t="s">
        <v>48</v>
      </c>
      <c r="L294">
        <v>2025</v>
      </c>
      <c r="M294" t="s">
        <v>872</v>
      </c>
    </row>
    <row r="295" spans="1:13" x14ac:dyDescent="0.35">
      <c r="A295" t="s">
        <v>873</v>
      </c>
      <c r="B295" t="s">
        <v>516</v>
      </c>
      <c r="C295" t="s">
        <v>15</v>
      </c>
      <c r="D295" t="s">
        <v>16</v>
      </c>
      <c r="E295" t="s">
        <v>34</v>
      </c>
      <c r="F295" t="s">
        <v>67</v>
      </c>
      <c r="G295" t="s">
        <v>19</v>
      </c>
      <c r="H295">
        <v>263357</v>
      </c>
      <c r="I295">
        <v>59446.91</v>
      </c>
      <c r="J295" t="s">
        <v>29</v>
      </c>
      <c r="K295" t="s">
        <v>21</v>
      </c>
      <c r="L295">
        <v>2022</v>
      </c>
      <c r="M295" t="s">
        <v>874</v>
      </c>
    </row>
    <row r="296" spans="1:13" x14ac:dyDescent="0.35">
      <c r="A296" t="s">
        <v>875</v>
      </c>
      <c r="B296" t="s">
        <v>876</v>
      </c>
      <c r="C296" t="s">
        <v>40</v>
      </c>
      <c r="D296" t="s">
        <v>41</v>
      </c>
      <c r="E296" t="s">
        <v>17</v>
      </c>
      <c r="F296" t="s">
        <v>52</v>
      </c>
      <c r="G296" t="s">
        <v>19</v>
      </c>
      <c r="H296">
        <v>166125</v>
      </c>
      <c r="I296">
        <v>-122889.28</v>
      </c>
      <c r="J296" t="s">
        <v>212</v>
      </c>
      <c r="K296" t="s">
        <v>53</v>
      </c>
      <c r="L296">
        <v>2024</v>
      </c>
      <c r="M296" t="s">
        <v>877</v>
      </c>
    </row>
    <row r="297" spans="1:13" x14ac:dyDescent="0.35">
      <c r="A297" t="s">
        <v>878</v>
      </c>
      <c r="B297" t="s">
        <v>879</v>
      </c>
      <c r="C297" t="s">
        <v>40</v>
      </c>
      <c r="D297" t="s">
        <v>41</v>
      </c>
      <c r="E297" t="s">
        <v>17</v>
      </c>
      <c r="F297" t="s">
        <v>42</v>
      </c>
      <c r="G297" t="s">
        <v>68</v>
      </c>
      <c r="H297">
        <v>7823</v>
      </c>
      <c r="I297">
        <v>-5847.72</v>
      </c>
      <c r="J297" t="s">
        <v>97</v>
      </c>
      <c r="K297" t="s">
        <v>30</v>
      </c>
      <c r="L297">
        <v>2023</v>
      </c>
      <c r="M297" t="s">
        <v>297</v>
      </c>
    </row>
    <row r="298" spans="1:13" x14ac:dyDescent="0.35">
      <c r="A298" t="s">
        <v>880</v>
      </c>
      <c r="B298" t="s">
        <v>302</v>
      </c>
      <c r="C298" t="s">
        <v>40</v>
      </c>
      <c r="D298" t="s">
        <v>41</v>
      </c>
      <c r="E298" t="s">
        <v>27</v>
      </c>
      <c r="F298" t="s">
        <v>204</v>
      </c>
      <c r="G298" t="s">
        <v>68</v>
      </c>
      <c r="H298">
        <v>893795</v>
      </c>
      <c r="I298">
        <v>56845.120000000003</v>
      </c>
      <c r="J298" t="s">
        <v>212</v>
      </c>
      <c r="K298" t="s">
        <v>48</v>
      </c>
      <c r="L298">
        <v>2021</v>
      </c>
      <c r="M298" t="s">
        <v>881</v>
      </c>
    </row>
    <row r="299" spans="1:13" x14ac:dyDescent="0.35">
      <c r="A299" t="s">
        <v>882</v>
      </c>
      <c r="B299" t="s">
        <v>883</v>
      </c>
      <c r="C299" t="s">
        <v>15</v>
      </c>
      <c r="D299" t="s">
        <v>16</v>
      </c>
      <c r="E299" t="s">
        <v>17</v>
      </c>
      <c r="F299" t="s">
        <v>42</v>
      </c>
      <c r="G299" t="s">
        <v>36</v>
      </c>
      <c r="H299">
        <v>29701</v>
      </c>
      <c r="I299">
        <v>-23815.360000000001</v>
      </c>
      <c r="J299" t="s">
        <v>47</v>
      </c>
      <c r="K299" t="s">
        <v>48</v>
      </c>
      <c r="L299">
        <v>2023</v>
      </c>
      <c r="M299" t="s">
        <v>884</v>
      </c>
    </row>
    <row r="300" spans="1:13" x14ac:dyDescent="0.35">
      <c r="A300" t="s">
        <v>885</v>
      </c>
      <c r="B300" t="s">
        <v>886</v>
      </c>
      <c r="C300" t="s">
        <v>25</v>
      </c>
      <c r="D300" t="s">
        <v>149</v>
      </c>
      <c r="E300" t="s">
        <v>17</v>
      </c>
      <c r="F300" t="s">
        <v>42</v>
      </c>
      <c r="G300" t="s">
        <v>19</v>
      </c>
      <c r="H300">
        <v>188842</v>
      </c>
      <c r="I300">
        <v>-144430.96</v>
      </c>
      <c r="J300" t="s">
        <v>79</v>
      </c>
      <c r="K300" t="s">
        <v>21</v>
      </c>
      <c r="L300">
        <v>2025</v>
      </c>
      <c r="M300" t="s">
        <v>559</v>
      </c>
    </row>
    <row r="301" spans="1:13" x14ac:dyDescent="0.35">
      <c r="A301" t="s">
        <v>887</v>
      </c>
      <c r="B301" t="s">
        <v>888</v>
      </c>
      <c r="C301" t="s">
        <v>40</v>
      </c>
      <c r="D301" t="s">
        <v>96</v>
      </c>
      <c r="E301" t="s">
        <v>17</v>
      </c>
      <c r="F301" t="s">
        <v>42</v>
      </c>
      <c r="G301" t="s">
        <v>36</v>
      </c>
      <c r="H301">
        <v>12233</v>
      </c>
      <c r="I301">
        <v>-11755.6</v>
      </c>
      <c r="J301" t="s">
        <v>29</v>
      </c>
      <c r="K301" t="s">
        <v>53</v>
      </c>
      <c r="L301">
        <v>2021</v>
      </c>
      <c r="M301" t="s">
        <v>889</v>
      </c>
    </row>
    <row r="302" spans="1:13" x14ac:dyDescent="0.35">
      <c r="A302" t="s">
        <v>890</v>
      </c>
      <c r="B302" t="s">
        <v>891</v>
      </c>
      <c r="C302" t="s">
        <v>25</v>
      </c>
      <c r="D302" t="s">
        <v>26</v>
      </c>
      <c r="E302" t="s">
        <v>138</v>
      </c>
      <c r="F302" t="s">
        <v>208</v>
      </c>
      <c r="G302" t="s">
        <v>36</v>
      </c>
      <c r="H302">
        <v>419045</v>
      </c>
      <c r="I302">
        <v>-58566.42</v>
      </c>
      <c r="J302" t="s">
        <v>97</v>
      </c>
      <c r="K302" t="s">
        <v>48</v>
      </c>
      <c r="L302">
        <v>2021</v>
      </c>
      <c r="M302" t="s">
        <v>892</v>
      </c>
    </row>
    <row r="303" spans="1:13" x14ac:dyDescent="0.35">
      <c r="A303" t="s">
        <v>893</v>
      </c>
      <c r="B303" t="s">
        <v>894</v>
      </c>
      <c r="C303" t="s">
        <v>40</v>
      </c>
      <c r="D303" t="s">
        <v>66</v>
      </c>
      <c r="E303" t="s">
        <v>34</v>
      </c>
      <c r="F303" t="s">
        <v>58</v>
      </c>
      <c r="G303" t="s">
        <v>36</v>
      </c>
      <c r="H303">
        <v>21391</v>
      </c>
      <c r="I303">
        <v>1290.3900000000001</v>
      </c>
      <c r="J303" t="s">
        <v>59</v>
      </c>
      <c r="K303" t="s">
        <v>48</v>
      </c>
      <c r="L303">
        <v>2023</v>
      </c>
      <c r="M303" t="s">
        <v>654</v>
      </c>
    </row>
    <row r="304" spans="1:13" x14ac:dyDescent="0.35">
      <c r="A304" t="s">
        <v>895</v>
      </c>
      <c r="B304" t="s">
        <v>896</v>
      </c>
      <c r="C304" t="s">
        <v>76</v>
      </c>
      <c r="D304" t="s">
        <v>171</v>
      </c>
      <c r="E304" t="s">
        <v>34</v>
      </c>
      <c r="F304" t="s">
        <v>35</v>
      </c>
      <c r="G304" t="s">
        <v>19</v>
      </c>
      <c r="H304">
        <v>268485</v>
      </c>
      <c r="I304">
        <v>53551.26</v>
      </c>
      <c r="J304" t="s">
        <v>97</v>
      </c>
      <c r="K304" t="s">
        <v>48</v>
      </c>
      <c r="L304">
        <v>2023</v>
      </c>
      <c r="M304" t="s">
        <v>897</v>
      </c>
    </row>
    <row r="305" spans="1:13" x14ac:dyDescent="0.35">
      <c r="A305" t="s">
        <v>898</v>
      </c>
      <c r="B305" t="s">
        <v>899</v>
      </c>
      <c r="C305" t="s">
        <v>15</v>
      </c>
      <c r="D305" t="s">
        <v>16</v>
      </c>
      <c r="E305" t="s">
        <v>34</v>
      </c>
      <c r="F305" t="s">
        <v>58</v>
      </c>
      <c r="G305" t="s">
        <v>78</v>
      </c>
      <c r="H305">
        <v>131572</v>
      </c>
      <c r="I305">
        <v>27892.720000000001</v>
      </c>
      <c r="J305" t="s">
        <v>59</v>
      </c>
      <c r="K305" t="s">
        <v>53</v>
      </c>
      <c r="L305">
        <v>2023</v>
      </c>
      <c r="M305" t="s">
        <v>900</v>
      </c>
    </row>
    <row r="306" spans="1:13" x14ac:dyDescent="0.35">
      <c r="A306" t="s">
        <v>901</v>
      </c>
      <c r="B306" t="s">
        <v>902</v>
      </c>
      <c r="C306" t="s">
        <v>40</v>
      </c>
      <c r="D306" t="s">
        <v>66</v>
      </c>
      <c r="E306" t="s">
        <v>17</v>
      </c>
      <c r="F306" t="s">
        <v>112</v>
      </c>
      <c r="G306" t="s">
        <v>36</v>
      </c>
      <c r="H306">
        <v>184392</v>
      </c>
      <c r="I306">
        <v>-147274.75</v>
      </c>
      <c r="J306" t="s">
        <v>97</v>
      </c>
      <c r="K306" t="s">
        <v>53</v>
      </c>
      <c r="L306">
        <v>2021</v>
      </c>
      <c r="M306" t="s">
        <v>555</v>
      </c>
    </row>
    <row r="307" spans="1:13" x14ac:dyDescent="0.35">
      <c r="A307" t="s">
        <v>903</v>
      </c>
      <c r="B307" t="s">
        <v>904</v>
      </c>
      <c r="C307" t="s">
        <v>15</v>
      </c>
      <c r="D307" t="s">
        <v>57</v>
      </c>
      <c r="E307" t="s">
        <v>34</v>
      </c>
      <c r="F307" t="s">
        <v>35</v>
      </c>
      <c r="G307" t="s">
        <v>68</v>
      </c>
      <c r="H307">
        <v>68476</v>
      </c>
      <c r="I307">
        <v>11976.71</v>
      </c>
      <c r="J307" t="s">
        <v>212</v>
      </c>
      <c r="K307" t="s">
        <v>21</v>
      </c>
      <c r="L307">
        <v>2024</v>
      </c>
      <c r="M307" t="s">
        <v>905</v>
      </c>
    </row>
    <row r="308" spans="1:13" x14ac:dyDescent="0.35">
      <c r="A308" t="s">
        <v>906</v>
      </c>
      <c r="B308" t="s">
        <v>907</v>
      </c>
      <c r="C308" t="s">
        <v>76</v>
      </c>
      <c r="D308" t="s">
        <v>171</v>
      </c>
      <c r="E308" t="s">
        <v>34</v>
      </c>
      <c r="F308" t="s">
        <v>58</v>
      </c>
      <c r="G308" t="s">
        <v>36</v>
      </c>
      <c r="H308">
        <v>78505</v>
      </c>
      <c r="I308">
        <v>3944.58</v>
      </c>
      <c r="J308" t="s">
        <v>29</v>
      </c>
      <c r="K308" t="s">
        <v>53</v>
      </c>
      <c r="L308">
        <v>2021</v>
      </c>
      <c r="M308" t="s">
        <v>678</v>
      </c>
    </row>
    <row r="309" spans="1:13" x14ac:dyDescent="0.35">
      <c r="A309" t="s">
        <v>908</v>
      </c>
      <c r="B309" t="s">
        <v>909</v>
      </c>
      <c r="C309" t="s">
        <v>76</v>
      </c>
      <c r="D309" t="s">
        <v>171</v>
      </c>
      <c r="E309" t="s">
        <v>34</v>
      </c>
      <c r="F309" t="s">
        <v>35</v>
      </c>
      <c r="G309" t="s">
        <v>36</v>
      </c>
      <c r="H309">
        <v>286910</v>
      </c>
      <c r="I309">
        <v>64547.44</v>
      </c>
      <c r="J309" t="s">
        <v>59</v>
      </c>
      <c r="K309" t="s">
        <v>30</v>
      </c>
      <c r="L309">
        <v>2023</v>
      </c>
      <c r="M309" t="s">
        <v>910</v>
      </c>
    </row>
    <row r="310" spans="1:13" x14ac:dyDescent="0.35">
      <c r="A310" t="s">
        <v>911</v>
      </c>
      <c r="B310" t="s">
        <v>912</v>
      </c>
      <c r="C310" t="s">
        <v>40</v>
      </c>
      <c r="D310" t="s">
        <v>96</v>
      </c>
      <c r="E310" t="s">
        <v>34</v>
      </c>
      <c r="F310" t="s">
        <v>101</v>
      </c>
      <c r="G310" t="s">
        <v>19</v>
      </c>
      <c r="H310">
        <v>174275</v>
      </c>
      <c r="I310">
        <v>26292.12</v>
      </c>
      <c r="J310" t="s">
        <v>20</v>
      </c>
      <c r="K310" t="s">
        <v>48</v>
      </c>
      <c r="L310">
        <v>2025</v>
      </c>
      <c r="M310" t="s">
        <v>913</v>
      </c>
    </row>
    <row r="311" spans="1:13" x14ac:dyDescent="0.35">
      <c r="A311" t="s">
        <v>914</v>
      </c>
      <c r="B311" t="s">
        <v>305</v>
      </c>
      <c r="C311" t="s">
        <v>25</v>
      </c>
      <c r="D311" t="s">
        <v>83</v>
      </c>
      <c r="E311" t="s">
        <v>34</v>
      </c>
      <c r="F311" t="s">
        <v>67</v>
      </c>
      <c r="G311" t="s">
        <v>68</v>
      </c>
      <c r="H311">
        <v>65429</v>
      </c>
      <c r="I311">
        <v>14839.7</v>
      </c>
      <c r="J311" t="s">
        <v>29</v>
      </c>
      <c r="K311" t="s">
        <v>48</v>
      </c>
      <c r="L311">
        <v>2025</v>
      </c>
      <c r="M311" t="s">
        <v>915</v>
      </c>
    </row>
    <row r="312" spans="1:13" x14ac:dyDescent="0.35">
      <c r="A312" t="s">
        <v>916</v>
      </c>
      <c r="B312" t="s">
        <v>917</v>
      </c>
      <c r="C312" t="s">
        <v>76</v>
      </c>
      <c r="D312" t="s">
        <v>105</v>
      </c>
      <c r="E312" t="s">
        <v>17</v>
      </c>
      <c r="F312" t="s">
        <v>42</v>
      </c>
      <c r="G312" t="s">
        <v>36</v>
      </c>
      <c r="H312">
        <v>23652</v>
      </c>
      <c r="I312">
        <v>-18715.52</v>
      </c>
      <c r="J312" t="s">
        <v>113</v>
      </c>
      <c r="K312" t="s">
        <v>53</v>
      </c>
      <c r="L312">
        <v>2023</v>
      </c>
      <c r="M312" t="s">
        <v>918</v>
      </c>
    </row>
    <row r="313" spans="1:13" x14ac:dyDescent="0.35">
      <c r="A313" t="s">
        <v>919</v>
      </c>
      <c r="B313" t="s">
        <v>920</v>
      </c>
      <c r="C313" t="s">
        <v>15</v>
      </c>
      <c r="D313" t="s">
        <v>57</v>
      </c>
      <c r="E313" t="s">
        <v>34</v>
      </c>
      <c r="F313" t="s">
        <v>67</v>
      </c>
      <c r="G313" t="s">
        <v>19</v>
      </c>
      <c r="H313">
        <v>222999</v>
      </c>
      <c r="I313">
        <v>50156.94</v>
      </c>
      <c r="J313" t="s">
        <v>212</v>
      </c>
      <c r="K313" t="s">
        <v>21</v>
      </c>
      <c r="L313">
        <v>2021</v>
      </c>
      <c r="M313" t="s">
        <v>921</v>
      </c>
    </row>
    <row r="314" spans="1:13" x14ac:dyDescent="0.35">
      <c r="A314" t="s">
        <v>922</v>
      </c>
      <c r="B314" t="s">
        <v>923</v>
      </c>
      <c r="C314" t="s">
        <v>25</v>
      </c>
      <c r="D314" t="s">
        <v>83</v>
      </c>
      <c r="E314" t="s">
        <v>17</v>
      </c>
      <c r="F314" t="s">
        <v>42</v>
      </c>
      <c r="G314" t="s">
        <v>78</v>
      </c>
      <c r="H314">
        <v>132446</v>
      </c>
      <c r="I314">
        <v>-96420.82</v>
      </c>
      <c r="J314" t="s">
        <v>29</v>
      </c>
      <c r="K314" t="s">
        <v>21</v>
      </c>
      <c r="L314">
        <v>2025</v>
      </c>
      <c r="M314" t="s">
        <v>31</v>
      </c>
    </row>
    <row r="315" spans="1:13" x14ac:dyDescent="0.35">
      <c r="A315" t="s">
        <v>924</v>
      </c>
      <c r="B315" t="s">
        <v>925</v>
      </c>
      <c r="C315" t="s">
        <v>25</v>
      </c>
      <c r="D315" t="s">
        <v>149</v>
      </c>
      <c r="E315" t="s">
        <v>17</v>
      </c>
      <c r="F315" t="s">
        <v>52</v>
      </c>
      <c r="G315" t="s">
        <v>19</v>
      </c>
      <c r="H315">
        <v>46273</v>
      </c>
      <c r="I315">
        <v>-39720.25</v>
      </c>
      <c r="J315" t="s">
        <v>79</v>
      </c>
      <c r="K315" t="s">
        <v>21</v>
      </c>
      <c r="L315">
        <v>2022</v>
      </c>
      <c r="M315" t="s">
        <v>926</v>
      </c>
    </row>
    <row r="316" spans="1:13" x14ac:dyDescent="0.35">
      <c r="A316" t="s">
        <v>927</v>
      </c>
      <c r="B316" t="s">
        <v>928</v>
      </c>
      <c r="C316" t="s">
        <v>25</v>
      </c>
      <c r="D316" t="s">
        <v>83</v>
      </c>
      <c r="E316" t="s">
        <v>34</v>
      </c>
      <c r="F316" t="s">
        <v>35</v>
      </c>
      <c r="G316" t="s">
        <v>36</v>
      </c>
      <c r="H316">
        <v>47711</v>
      </c>
      <c r="I316">
        <v>6808.63</v>
      </c>
      <c r="J316" t="s">
        <v>97</v>
      </c>
      <c r="K316" t="s">
        <v>53</v>
      </c>
      <c r="L316">
        <v>2025</v>
      </c>
      <c r="M316" t="s">
        <v>546</v>
      </c>
    </row>
    <row r="317" spans="1:13" x14ac:dyDescent="0.35">
      <c r="A317" t="s">
        <v>929</v>
      </c>
      <c r="B317" t="s">
        <v>930</v>
      </c>
      <c r="C317" t="s">
        <v>76</v>
      </c>
      <c r="D317" t="s">
        <v>105</v>
      </c>
      <c r="E317" t="s">
        <v>17</v>
      </c>
      <c r="F317" t="s">
        <v>52</v>
      </c>
      <c r="G317" t="s">
        <v>19</v>
      </c>
      <c r="H317">
        <v>29257</v>
      </c>
      <c r="I317">
        <v>-22273.51</v>
      </c>
      <c r="J317" t="s">
        <v>29</v>
      </c>
      <c r="K317" t="s">
        <v>30</v>
      </c>
      <c r="L317">
        <v>2021</v>
      </c>
      <c r="M317" t="s">
        <v>216</v>
      </c>
    </row>
    <row r="318" spans="1:13" x14ac:dyDescent="0.35">
      <c r="A318" t="s">
        <v>931</v>
      </c>
      <c r="B318" t="s">
        <v>932</v>
      </c>
      <c r="C318" t="s">
        <v>76</v>
      </c>
      <c r="D318" t="s">
        <v>171</v>
      </c>
      <c r="E318" t="s">
        <v>27</v>
      </c>
      <c r="F318" t="s">
        <v>379</v>
      </c>
      <c r="G318" t="s">
        <v>68</v>
      </c>
      <c r="H318">
        <v>551817</v>
      </c>
      <c r="I318">
        <v>24307.01</v>
      </c>
      <c r="J318" t="s">
        <v>20</v>
      </c>
      <c r="K318" t="s">
        <v>48</v>
      </c>
      <c r="L318">
        <v>2023</v>
      </c>
      <c r="M318" t="s">
        <v>933</v>
      </c>
    </row>
    <row r="319" spans="1:13" x14ac:dyDescent="0.35">
      <c r="A319" t="s">
        <v>934</v>
      </c>
      <c r="B319" t="s">
        <v>372</v>
      </c>
      <c r="C319" t="s">
        <v>40</v>
      </c>
      <c r="D319" t="s">
        <v>41</v>
      </c>
      <c r="E319" t="s">
        <v>34</v>
      </c>
      <c r="F319" t="s">
        <v>67</v>
      </c>
      <c r="G319" t="s">
        <v>36</v>
      </c>
      <c r="H319">
        <v>58009</v>
      </c>
      <c r="I319">
        <v>9178.2199999999993</v>
      </c>
      <c r="J319" t="s">
        <v>79</v>
      </c>
      <c r="K319" t="s">
        <v>48</v>
      </c>
      <c r="L319">
        <v>2024</v>
      </c>
      <c r="M319" t="s">
        <v>935</v>
      </c>
    </row>
    <row r="320" spans="1:13" x14ac:dyDescent="0.35">
      <c r="A320" t="s">
        <v>936</v>
      </c>
      <c r="B320" t="s">
        <v>937</v>
      </c>
      <c r="C320" t="s">
        <v>40</v>
      </c>
      <c r="D320" t="s">
        <v>66</v>
      </c>
      <c r="E320" t="s">
        <v>17</v>
      </c>
      <c r="F320" t="s">
        <v>42</v>
      </c>
      <c r="G320" t="s">
        <v>36</v>
      </c>
      <c r="H320">
        <v>185813</v>
      </c>
      <c r="I320">
        <v>-169778.96</v>
      </c>
      <c r="J320" t="s">
        <v>20</v>
      </c>
      <c r="K320" t="s">
        <v>30</v>
      </c>
      <c r="L320">
        <v>2025</v>
      </c>
      <c r="M320" t="s">
        <v>938</v>
      </c>
    </row>
    <row r="321" spans="1:13" x14ac:dyDescent="0.35">
      <c r="A321" t="s">
        <v>939</v>
      </c>
      <c r="B321" t="s">
        <v>305</v>
      </c>
      <c r="C321" t="s">
        <v>40</v>
      </c>
      <c r="D321" t="s">
        <v>66</v>
      </c>
      <c r="E321" t="s">
        <v>17</v>
      </c>
      <c r="F321" t="s">
        <v>18</v>
      </c>
      <c r="G321" t="s">
        <v>36</v>
      </c>
      <c r="H321">
        <v>191870</v>
      </c>
      <c r="I321">
        <v>-142274.18</v>
      </c>
      <c r="J321" t="s">
        <v>212</v>
      </c>
      <c r="K321" t="s">
        <v>48</v>
      </c>
      <c r="L321">
        <v>2025</v>
      </c>
      <c r="M321" t="s">
        <v>940</v>
      </c>
    </row>
    <row r="322" spans="1:13" x14ac:dyDescent="0.35">
      <c r="A322" t="s">
        <v>941</v>
      </c>
      <c r="B322" t="s">
        <v>410</v>
      </c>
      <c r="C322" t="s">
        <v>40</v>
      </c>
      <c r="D322" t="s">
        <v>96</v>
      </c>
      <c r="E322" t="s">
        <v>34</v>
      </c>
      <c r="F322" t="s">
        <v>35</v>
      </c>
      <c r="G322" t="s">
        <v>36</v>
      </c>
      <c r="H322">
        <v>213190</v>
      </c>
      <c r="I322">
        <v>32288.79</v>
      </c>
      <c r="J322" t="s">
        <v>29</v>
      </c>
      <c r="K322" t="s">
        <v>30</v>
      </c>
      <c r="L322">
        <v>2024</v>
      </c>
      <c r="M322" t="s">
        <v>678</v>
      </c>
    </row>
    <row r="323" spans="1:13" x14ac:dyDescent="0.35">
      <c r="A323" t="s">
        <v>942</v>
      </c>
      <c r="B323" t="s">
        <v>943</v>
      </c>
      <c r="C323" t="s">
        <v>40</v>
      </c>
      <c r="D323" t="s">
        <v>96</v>
      </c>
      <c r="E323" t="s">
        <v>34</v>
      </c>
      <c r="F323" t="s">
        <v>101</v>
      </c>
      <c r="G323" t="s">
        <v>78</v>
      </c>
      <c r="H323">
        <v>264844</v>
      </c>
      <c r="I323">
        <v>36160.92</v>
      </c>
      <c r="J323" t="s">
        <v>79</v>
      </c>
      <c r="K323" t="s">
        <v>53</v>
      </c>
      <c r="L323">
        <v>2021</v>
      </c>
      <c r="M323" t="s">
        <v>944</v>
      </c>
    </row>
    <row r="324" spans="1:13" x14ac:dyDescent="0.35">
      <c r="A324" t="s">
        <v>945</v>
      </c>
      <c r="B324" t="s">
        <v>946</v>
      </c>
      <c r="C324" t="s">
        <v>76</v>
      </c>
      <c r="D324" t="s">
        <v>171</v>
      </c>
      <c r="E324" t="s">
        <v>17</v>
      </c>
      <c r="F324" t="s">
        <v>72</v>
      </c>
      <c r="G324" t="s">
        <v>19</v>
      </c>
      <c r="H324">
        <v>185252</v>
      </c>
      <c r="I324">
        <v>-170180.91</v>
      </c>
      <c r="J324" t="s">
        <v>97</v>
      </c>
      <c r="K324" t="s">
        <v>53</v>
      </c>
      <c r="L324">
        <v>2023</v>
      </c>
      <c r="M324" t="s">
        <v>947</v>
      </c>
    </row>
    <row r="325" spans="1:13" x14ac:dyDescent="0.35">
      <c r="A325" t="s">
        <v>948</v>
      </c>
      <c r="B325" t="s">
        <v>949</v>
      </c>
      <c r="C325" t="s">
        <v>76</v>
      </c>
      <c r="D325" t="s">
        <v>171</v>
      </c>
      <c r="E325" t="s">
        <v>34</v>
      </c>
      <c r="F325" t="s">
        <v>35</v>
      </c>
      <c r="G325" t="s">
        <v>36</v>
      </c>
      <c r="H325">
        <v>41789</v>
      </c>
      <c r="I325">
        <v>4665.66</v>
      </c>
      <c r="J325" t="s">
        <v>59</v>
      </c>
      <c r="K325" t="s">
        <v>53</v>
      </c>
      <c r="L325">
        <v>2023</v>
      </c>
      <c r="M325" t="s">
        <v>591</v>
      </c>
    </row>
    <row r="326" spans="1:13" x14ac:dyDescent="0.35">
      <c r="A326" t="s">
        <v>950</v>
      </c>
      <c r="B326" t="s">
        <v>951</v>
      </c>
      <c r="C326" t="s">
        <v>40</v>
      </c>
      <c r="D326" t="s">
        <v>96</v>
      </c>
      <c r="E326" t="s">
        <v>27</v>
      </c>
      <c r="F326" t="s">
        <v>379</v>
      </c>
      <c r="G326" t="s">
        <v>36</v>
      </c>
      <c r="H326">
        <v>446447</v>
      </c>
      <c r="I326">
        <v>43283.57</v>
      </c>
      <c r="J326" t="s">
        <v>113</v>
      </c>
      <c r="K326" t="s">
        <v>30</v>
      </c>
      <c r="L326">
        <v>2024</v>
      </c>
      <c r="M326" t="s">
        <v>431</v>
      </c>
    </row>
    <row r="327" spans="1:13" x14ac:dyDescent="0.35">
      <c r="A327" t="s">
        <v>952</v>
      </c>
      <c r="B327" t="s">
        <v>953</v>
      </c>
      <c r="C327" t="s">
        <v>25</v>
      </c>
      <c r="D327" t="s">
        <v>26</v>
      </c>
      <c r="E327" t="s">
        <v>34</v>
      </c>
      <c r="F327" t="s">
        <v>101</v>
      </c>
      <c r="G327" t="s">
        <v>19</v>
      </c>
      <c r="H327">
        <v>46491</v>
      </c>
      <c r="I327">
        <v>4580.2</v>
      </c>
      <c r="J327" t="s">
        <v>79</v>
      </c>
      <c r="K327" t="s">
        <v>53</v>
      </c>
      <c r="L327">
        <v>2023</v>
      </c>
      <c r="M327" t="s">
        <v>954</v>
      </c>
    </row>
    <row r="328" spans="1:13" x14ac:dyDescent="0.35">
      <c r="A328" t="s">
        <v>955</v>
      </c>
      <c r="B328" t="s">
        <v>956</v>
      </c>
      <c r="C328" t="s">
        <v>15</v>
      </c>
      <c r="D328" t="s">
        <v>57</v>
      </c>
      <c r="E328" t="s">
        <v>27</v>
      </c>
      <c r="F328" t="s">
        <v>379</v>
      </c>
      <c r="G328" t="s">
        <v>68</v>
      </c>
      <c r="H328">
        <v>345797</v>
      </c>
      <c r="I328">
        <v>12733.02</v>
      </c>
      <c r="J328" t="s">
        <v>47</v>
      </c>
      <c r="K328" t="s">
        <v>30</v>
      </c>
      <c r="L328">
        <v>2021</v>
      </c>
      <c r="M328" t="s">
        <v>957</v>
      </c>
    </row>
    <row r="329" spans="1:13" x14ac:dyDescent="0.35">
      <c r="A329" t="s">
        <v>958</v>
      </c>
      <c r="B329" t="s">
        <v>959</v>
      </c>
      <c r="C329" t="s">
        <v>76</v>
      </c>
      <c r="D329" t="s">
        <v>171</v>
      </c>
      <c r="E329" t="s">
        <v>34</v>
      </c>
      <c r="F329" t="s">
        <v>35</v>
      </c>
      <c r="G329" t="s">
        <v>78</v>
      </c>
      <c r="H329">
        <v>272570</v>
      </c>
      <c r="I329">
        <v>32468.94</v>
      </c>
      <c r="J329" t="s">
        <v>79</v>
      </c>
      <c r="K329" t="s">
        <v>48</v>
      </c>
      <c r="L329">
        <v>2021</v>
      </c>
      <c r="M329" t="s">
        <v>960</v>
      </c>
    </row>
    <row r="330" spans="1:13" x14ac:dyDescent="0.35">
      <c r="A330" t="s">
        <v>961</v>
      </c>
      <c r="B330" t="s">
        <v>871</v>
      </c>
      <c r="C330" t="s">
        <v>15</v>
      </c>
      <c r="D330" t="s">
        <v>16</v>
      </c>
      <c r="E330" t="s">
        <v>34</v>
      </c>
      <c r="F330" t="s">
        <v>35</v>
      </c>
      <c r="G330" t="s">
        <v>78</v>
      </c>
      <c r="H330">
        <v>70397</v>
      </c>
      <c r="I330">
        <v>11343.26</v>
      </c>
      <c r="J330" t="s">
        <v>47</v>
      </c>
      <c r="K330" t="s">
        <v>48</v>
      </c>
      <c r="L330">
        <v>2025</v>
      </c>
      <c r="M330" t="s">
        <v>962</v>
      </c>
    </row>
    <row r="331" spans="1:13" x14ac:dyDescent="0.35">
      <c r="A331" t="s">
        <v>963</v>
      </c>
      <c r="B331" t="s">
        <v>739</v>
      </c>
      <c r="C331" t="s">
        <v>25</v>
      </c>
      <c r="D331" t="s">
        <v>149</v>
      </c>
      <c r="E331" t="s">
        <v>34</v>
      </c>
      <c r="F331" t="s">
        <v>58</v>
      </c>
      <c r="G331" t="s">
        <v>19</v>
      </c>
      <c r="H331">
        <v>230133</v>
      </c>
      <c r="I331">
        <v>24256.69</v>
      </c>
      <c r="J331" t="s">
        <v>113</v>
      </c>
      <c r="K331" t="s">
        <v>48</v>
      </c>
      <c r="L331">
        <v>2025</v>
      </c>
      <c r="M331" t="s">
        <v>964</v>
      </c>
    </row>
    <row r="332" spans="1:13" x14ac:dyDescent="0.35">
      <c r="A332" t="s">
        <v>965</v>
      </c>
      <c r="B332" t="s">
        <v>966</v>
      </c>
      <c r="C332" t="s">
        <v>40</v>
      </c>
      <c r="D332" t="s">
        <v>41</v>
      </c>
      <c r="E332" t="s">
        <v>34</v>
      </c>
      <c r="F332" t="s">
        <v>101</v>
      </c>
      <c r="G332" t="s">
        <v>78</v>
      </c>
      <c r="H332">
        <v>149410</v>
      </c>
      <c r="I332">
        <v>29372.58</v>
      </c>
      <c r="J332" t="s">
        <v>79</v>
      </c>
      <c r="K332" t="s">
        <v>48</v>
      </c>
      <c r="L332">
        <v>2024</v>
      </c>
      <c r="M332" t="s">
        <v>967</v>
      </c>
    </row>
    <row r="333" spans="1:13" x14ac:dyDescent="0.35">
      <c r="A333" t="s">
        <v>968</v>
      </c>
      <c r="B333" t="s">
        <v>969</v>
      </c>
      <c r="C333" t="s">
        <v>40</v>
      </c>
      <c r="D333" t="s">
        <v>66</v>
      </c>
      <c r="E333" t="s">
        <v>34</v>
      </c>
      <c r="F333" t="s">
        <v>35</v>
      </c>
      <c r="G333" t="s">
        <v>68</v>
      </c>
      <c r="H333">
        <v>143535</v>
      </c>
      <c r="I333">
        <v>33469.5</v>
      </c>
      <c r="J333" t="s">
        <v>47</v>
      </c>
      <c r="K333" t="s">
        <v>21</v>
      </c>
      <c r="L333">
        <v>2023</v>
      </c>
      <c r="M333" t="s">
        <v>970</v>
      </c>
    </row>
    <row r="334" spans="1:13" x14ac:dyDescent="0.35">
      <c r="A334" t="s">
        <v>971</v>
      </c>
      <c r="B334" t="s">
        <v>972</v>
      </c>
      <c r="C334" t="s">
        <v>40</v>
      </c>
      <c r="D334" t="s">
        <v>66</v>
      </c>
      <c r="E334" t="s">
        <v>34</v>
      </c>
      <c r="F334" t="s">
        <v>58</v>
      </c>
      <c r="G334" t="s">
        <v>19</v>
      </c>
      <c r="H334">
        <v>202297</v>
      </c>
      <c r="I334">
        <v>10289.700000000001</v>
      </c>
      <c r="J334" t="s">
        <v>20</v>
      </c>
      <c r="K334" t="s">
        <v>30</v>
      </c>
      <c r="L334">
        <v>2025</v>
      </c>
      <c r="M334" t="s">
        <v>503</v>
      </c>
    </row>
    <row r="335" spans="1:13" x14ac:dyDescent="0.35">
      <c r="A335" t="s">
        <v>973</v>
      </c>
      <c r="B335" t="s">
        <v>974</v>
      </c>
      <c r="C335" t="s">
        <v>15</v>
      </c>
      <c r="D335" t="s">
        <v>16</v>
      </c>
      <c r="E335" t="s">
        <v>17</v>
      </c>
      <c r="F335" t="s">
        <v>112</v>
      </c>
      <c r="G335" t="s">
        <v>19</v>
      </c>
      <c r="H335">
        <v>102566</v>
      </c>
      <c r="I335">
        <v>-86102.23</v>
      </c>
      <c r="J335" t="s">
        <v>59</v>
      </c>
      <c r="K335" t="s">
        <v>30</v>
      </c>
      <c r="L335">
        <v>2022</v>
      </c>
      <c r="M335" t="s">
        <v>975</v>
      </c>
    </row>
    <row r="336" spans="1:13" x14ac:dyDescent="0.35">
      <c r="A336" t="s">
        <v>976</v>
      </c>
      <c r="B336" t="s">
        <v>840</v>
      </c>
      <c r="C336" t="s">
        <v>40</v>
      </c>
      <c r="D336" t="s">
        <v>66</v>
      </c>
      <c r="E336" t="s">
        <v>34</v>
      </c>
      <c r="F336" t="s">
        <v>58</v>
      </c>
      <c r="G336" t="s">
        <v>36</v>
      </c>
      <c r="H336">
        <v>297071</v>
      </c>
      <c r="I336">
        <v>36188.17</v>
      </c>
      <c r="J336" t="s">
        <v>20</v>
      </c>
      <c r="K336" t="s">
        <v>30</v>
      </c>
      <c r="L336">
        <v>2022</v>
      </c>
      <c r="M336" t="s">
        <v>977</v>
      </c>
    </row>
    <row r="337" spans="1:13" x14ac:dyDescent="0.35">
      <c r="A337" t="s">
        <v>978</v>
      </c>
      <c r="B337" t="s">
        <v>979</v>
      </c>
      <c r="C337" t="s">
        <v>76</v>
      </c>
      <c r="D337" t="s">
        <v>77</v>
      </c>
      <c r="E337" t="s">
        <v>34</v>
      </c>
      <c r="F337" t="s">
        <v>35</v>
      </c>
      <c r="G337" t="s">
        <v>36</v>
      </c>
      <c r="H337">
        <v>36763</v>
      </c>
      <c r="I337">
        <v>6534.1</v>
      </c>
      <c r="J337" t="s">
        <v>113</v>
      </c>
      <c r="K337" t="s">
        <v>30</v>
      </c>
      <c r="L337">
        <v>2024</v>
      </c>
      <c r="M337" t="s">
        <v>980</v>
      </c>
    </row>
    <row r="338" spans="1:13" x14ac:dyDescent="0.35">
      <c r="A338" t="s">
        <v>981</v>
      </c>
      <c r="B338" t="s">
        <v>982</v>
      </c>
      <c r="C338" t="s">
        <v>76</v>
      </c>
      <c r="D338" t="s">
        <v>77</v>
      </c>
      <c r="E338" t="s">
        <v>27</v>
      </c>
      <c r="F338" t="s">
        <v>379</v>
      </c>
      <c r="G338" t="s">
        <v>68</v>
      </c>
      <c r="H338">
        <v>960242</v>
      </c>
      <c r="I338">
        <v>52352.08</v>
      </c>
      <c r="J338" t="s">
        <v>79</v>
      </c>
      <c r="K338" t="s">
        <v>21</v>
      </c>
      <c r="L338">
        <v>2025</v>
      </c>
      <c r="M338" t="s">
        <v>983</v>
      </c>
    </row>
    <row r="339" spans="1:13" x14ac:dyDescent="0.35">
      <c r="A339" t="s">
        <v>984</v>
      </c>
      <c r="B339" t="s">
        <v>985</v>
      </c>
      <c r="C339" t="s">
        <v>40</v>
      </c>
      <c r="D339" t="s">
        <v>41</v>
      </c>
      <c r="E339" t="s">
        <v>17</v>
      </c>
      <c r="F339" t="s">
        <v>72</v>
      </c>
      <c r="G339" t="s">
        <v>19</v>
      </c>
      <c r="H339">
        <v>80940</v>
      </c>
      <c r="I339">
        <v>-68938.100000000006</v>
      </c>
      <c r="J339" t="s">
        <v>29</v>
      </c>
      <c r="K339" t="s">
        <v>48</v>
      </c>
      <c r="L339">
        <v>2022</v>
      </c>
      <c r="M339" t="s">
        <v>264</v>
      </c>
    </row>
    <row r="340" spans="1:13" x14ac:dyDescent="0.35">
      <c r="A340" t="s">
        <v>986</v>
      </c>
      <c r="B340" t="s">
        <v>987</v>
      </c>
      <c r="C340" t="s">
        <v>40</v>
      </c>
      <c r="D340" t="s">
        <v>41</v>
      </c>
      <c r="E340" t="s">
        <v>17</v>
      </c>
      <c r="F340" t="s">
        <v>42</v>
      </c>
      <c r="G340" t="s">
        <v>19</v>
      </c>
      <c r="H340">
        <v>67150</v>
      </c>
      <c r="I340">
        <v>-64668.12</v>
      </c>
      <c r="J340" t="s">
        <v>47</v>
      </c>
      <c r="K340" t="s">
        <v>48</v>
      </c>
      <c r="L340">
        <v>2025</v>
      </c>
      <c r="M340" t="s">
        <v>988</v>
      </c>
    </row>
    <row r="341" spans="1:13" x14ac:dyDescent="0.35">
      <c r="A341" t="s">
        <v>989</v>
      </c>
      <c r="B341" t="s">
        <v>387</v>
      </c>
      <c r="C341" t="s">
        <v>76</v>
      </c>
      <c r="D341" t="s">
        <v>77</v>
      </c>
      <c r="E341" t="s">
        <v>34</v>
      </c>
      <c r="F341" t="s">
        <v>67</v>
      </c>
      <c r="G341" t="s">
        <v>19</v>
      </c>
      <c r="H341">
        <v>183073</v>
      </c>
      <c r="I341">
        <v>22168.71</v>
      </c>
      <c r="J341" t="s">
        <v>47</v>
      </c>
      <c r="K341" t="s">
        <v>53</v>
      </c>
      <c r="L341">
        <v>2021</v>
      </c>
      <c r="M341" t="s">
        <v>990</v>
      </c>
    </row>
    <row r="342" spans="1:13" x14ac:dyDescent="0.35">
      <c r="A342" t="s">
        <v>991</v>
      </c>
      <c r="B342" t="s">
        <v>992</v>
      </c>
      <c r="C342" t="s">
        <v>25</v>
      </c>
      <c r="D342" t="s">
        <v>83</v>
      </c>
      <c r="E342" t="s">
        <v>17</v>
      </c>
      <c r="F342" t="s">
        <v>18</v>
      </c>
      <c r="G342" t="s">
        <v>19</v>
      </c>
      <c r="H342">
        <v>132189</v>
      </c>
      <c r="I342">
        <v>-130598.18</v>
      </c>
      <c r="J342" t="s">
        <v>47</v>
      </c>
      <c r="K342" t="s">
        <v>48</v>
      </c>
      <c r="L342">
        <v>2025</v>
      </c>
      <c r="M342" t="s">
        <v>549</v>
      </c>
    </row>
    <row r="343" spans="1:13" x14ac:dyDescent="0.35">
      <c r="A343" t="s">
        <v>993</v>
      </c>
      <c r="B343" t="s">
        <v>994</v>
      </c>
      <c r="C343" t="s">
        <v>25</v>
      </c>
      <c r="D343" t="s">
        <v>149</v>
      </c>
      <c r="E343" t="s">
        <v>27</v>
      </c>
      <c r="F343" t="s">
        <v>219</v>
      </c>
      <c r="G343" t="s">
        <v>36</v>
      </c>
      <c r="H343">
        <v>690549</v>
      </c>
      <c r="I343">
        <v>24737.23</v>
      </c>
      <c r="J343" t="s">
        <v>29</v>
      </c>
      <c r="K343" t="s">
        <v>21</v>
      </c>
      <c r="L343">
        <v>2023</v>
      </c>
      <c r="M343" t="s">
        <v>995</v>
      </c>
    </row>
    <row r="344" spans="1:13" x14ac:dyDescent="0.35">
      <c r="A344" t="s">
        <v>996</v>
      </c>
      <c r="B344" t="s">
        <v>177</v>
      </c>
      <c r="C344" t="s">
        <v>25</v>
      </c>
      <c r="D344" t="s">
        <v>26</v>
      </c>
      <c r="E344" t="s">
        <v>34</v>
      </c>
      <c r="F344" t="s">
        <v>35</v>
      </c>
      <c r="G344" t="s">
        <v>36</v>
      </c>
      <c r="H344">
        <v>241896</v>
      </c>
      <c r="I344">
        <v>47549.89</v>
      </c>
      <c r="J344" t="s">
        <v>113</v>
      </c>
      <c r="K344" t="s">
        <v>21</v>
      </c>
      <c r="L344">
        <v>2021</v>
      </c>
      <c r="M344" t="s">
        <v>997</v>
      </c>
    </row>
    <row r="345" spans="1:13" x14ac:dyDescent="0.35">
      <c r="A345" t="s">
        <v>998</v>
      </c>
      <c r="B345" t="s">
        <v>999</v>
      </c>
      <c r="C345" t="s">
        <v>40</v>
      </c>
      <c r="D345" t="s">
        <v>41</v>
      </c>
      <c r="E345" t="s">
        <v>34</v>
      </c>
      <c r="F345" t="s">
        <v>101</v>
      </c>
      <c r="G345" t="s">
        <v>19</v>
      </c>
      <c r="H345">
        <v>89817</v>
      </c>
      <c r="I345">
        <v>21493.9</v>
      </c>
      <c r="J345" t="s">
        <v>212</v>
      </c>
      <c r="K345" t="s">
        <v>30</v>
      </c>
      <c r="L345">
        <v>2023</v>
      </c>
      <c r="M345" t="s">
        <v>1000</v>
      </c>
    </row>
    <row r="346" spans="1:13" x14ac:dyDescent="0.35">
      <c r="A346" t="s">
        <v>1001</v>
      </c>
      <c r="B346" t="s">
        <v>1002</v>
      </c>
      <c r="C346" t="s">
        <v>25</v>
      </c>
      <c r="D346" t="s">
        <v>26</v>
      </c>
      <c r="E346" t="s">
        <v>17</v>
      </c>
      <c r="F346" t="s">
        <v>52</v>
      </c>
      <c r="G346" t="s">
        <v>36</v>
      </c>
      <c r="H346">
        <v>17697</v>
      </c>
      <c r="I346">
        <v>-14282.78</v>
      </c>
      <c r="J346" t="s">
        <v>59</v>
      </c>
      <c r="K346" t="s">
        <v>53</v>
      </c>
      <c r="L346">
        <v>2021</v>
      </c>
      <c r="M346" t="s">
        <v>1003</v>
      </c>
    </row>
    <row r="347" spans="1:13" x14ac:dyDescent="0.35">
      <c r="A347" t="s">
        <v>1004</v>
      </c>
      <c r="B347" t="s">
        <v>1005</v>
      </c>
      <c r="C347" t="s">
        <v>40</v>
      </c>
      <c r="D347" t="s">
        <v>41</v>
      </c>
      <c r="E347" t="s">
        <v>17</v>
      </c>
      <c r="F347" t="s">
        <v>72</v>
      </c>
      <c r="G347" t="s">
        <v>36</v>
      </c>
      <c r="H347">
        <v>64049</v>
      </c>
      <c r="I347">
        <v>-50078.63</v>
      </c>
      <c r="J347" t="s">
        <v>79</v>
      </c>
      <c r="K347" t="s">
        <v>53</v>
      </c>
      <c r="L347">
        <v>2024</v>
      </c>
      <c r="M347" t="s">
        <v>1006</v>
      </c>
    </row>
    <row r="348" spans="1:13" x14ac:dyDescent="0.35">
      <c r="A348" t="s">
        <v>1007</v>
      </c>
      <c r="B348" t="s">
        <v>1008</v>
      </c>
      <c r="C348" t="s">
        <v>76</v>
      </c>
      <c r="D348" t="s">
        <v>105</v>
      </c>
      <c r="E348" t="s">
        <v>34</v>
      </c>
      <c r="F348" t="s">
        <v>101</v>
      </c>
      <c r="G348" t="s">
        <v>19</v>
      </c>
      <c r="H348">
        <v>227961</v>
      </c>
      <c r="I348">
        <v>43940.39</v>
      </c>
      <c r="J348" t="s">
        <v>47</v>
      </c>
      <c r="K348" t="s">
        <v>30</v>
      </c>
      <c r="L348">
        <v>2025</v>
      </c>
      <c r="M348" t="s">
        <v>1009</v>
      </c>
    </row>
    <row r="349" spans="1:13" x14ac:dyDescent="0.35">
      <c r="A349" t="s">
        <v>1010</v>
      </c>
      <c r="B349" t="s">
        <v>1011</v>
      </c>
      <c r="C349" t="s">
        <v>40</v>
      </c>
      <c r="D349" t="s">
        <v>66</v>
      </c>
      <c r="E349" t="s">
        <v>17</v>
      </c>
      <c r="F349" t="s">
        <v>112</v>
      </c>
      <c r="G349" t="s">
        <v>36</v>
      </c>
      <c r="H349">
        <v>193579</v>
      </c>
      <c r="I349">
        <v>-151653.79999999999</v>
      </c>
      <c r="J349" t="s">
        <v>212</v>
      </c>
      <c r="K349" t="s">
        <v>21</v>
      </c>
      <c r="L349">
        <v>2025</v>
      </c>
      <c r="M349" t="s">
        <v>1012</v>
      </c>
    </row>
    <row r="350" spans="1:13" x14ac:dyDescent="0.35">
      <c r="A350" t="s">
        <v>1013</v>
      </c>
      <c r="B350" t="s">
        <v>1014</v>
      </c>
      <c r="C350" t="s">
        <v>15</v>
      </c>
      <c r="D350" t="s">
        <v>16</v>
      </c>
      <c r="E350" t="s">
        <v>34</v>
      </c>
      <c r="F350" t="s">
        <v>67</v>
      </c>
      <c r="G350" t="s">
        <v>78</v>
      </c>
      <c r="H350">
        <v>20799</v>
      </c>
      <c r="I350">
        <v>4513.6899999999996</v>
      </c>
      <c r="J350" t="s">
        <v>20</v>
      </c>
      <c r="K350" t="s">
        <v>48</v>
      </c>
      <c r="L350">
        <v>2025</v>
      </c>
      <c r="M350" t="s">
        <v>1015</v>
      </c>
    </row>
    <row r="351" spans="1:13" x14ac:dyDescent="0.35">
      <c r="A351" t="s">
        <v>1016</v>
      </c>
      <c r="B351" t="s">
        <v>1017</v>
      </c>
      <c r="C351" t="s">
        <v>40</v>
      </c>
      <c r="D351" t="s">
        <v>66</v>
      </c>
      <c r="E351" t="s">
        <v>34</v>
      </c>
      <c r="F351" t="s">
        <v>35</v>
      </c>
      <c r="G351" t="s">
        <v>19</v>
      </c>
      <c r="H351">
        <v>35000</v>
      </c>
      <c r="I351">
        <v>8500.4</v>
      </c>
      <c r="J351" t="s">
        <v>59</v>
      </c>
      <c r="K351" t="s">
        <v>48</v>
      </c>
      <c r="L351">
        <v>2022</v>
      </c>
      <c r="M351" t="s">
        <v>54</v>
      </c>
    </row>
    <row r="352" spans="1:13" x14ac:dyDescent="0.35">
      <c r="A352" t="s">
        <v>1018</v>
      </c>
      <c r="B352" t="s">
        <v>1019</v>
      </c>
      <c r="C352" t="s">
        <v>40</v>
      </c>
      <c r="D352" t="s">
        <v>66</v>
      </c>
      <c r="E352" t="s">
        <v>17</v>
      </c>
      <c r="F352" t="s">
        <v>42</v>
      </c>
      <c r="G352" t="s">
        <v>36</v>
      </c>
      <c r="H352">
        <v>69811</v>
      </c>
      <c r="I352">
        <v>-66936.61</v>
      </c>
      <c r="J352" t="s">
        <v>47</v>
      </c>
      <c r="K352" t="s">
        <v>48</v>
      </c>
      <c r="L352">
        <v>2024</v>
      </c>
      <c r="M352" t="s">
        <v>414</v>
      </c>
    </row>
    <row r="353" spans="1:13" x14ac:dyDescent="0.35">
      <c r="A353" t="s">
        <v>1020</v>
      </c>
      <c r="B353" t="s">
        <v>1021</v>
      </c>
      <c r="C353" t="s">
        <v>25</v>
      </c>
      <c r="D353" t="s">
        <v>83</v>
      </c>
      <c r="E353" t="s">
        <v>34</v>
      </c>
      <c r="F353" t="s">
        <v>67</v>
      </c>
      <c r="G353" t="s">
        <v>36</v>
      </c>
      <c r="H353">
        <v>236019</v>
      </c>
      <c r="I353">
        <v>22852.05</v>
      </c>
      <c r="J353" t="s">
        <v>59</v>
      </c>
      <c r="K353" t="s">
        <v>53</v>
      </c>
      <c r="L353">
        <v>2024</v>
      </c>
      <c r="M353" t="s">
        <v>803</v>
      </c>
    </row>
    <row r="354" spans="1:13" x14ac:dyDescent="0.35">
      <c r="A354" t="s">
        <v>1022</v>
      </c>
      <c r="B354" t="s">
        <v>1023</v>
      </c>
      <c r="C354" t="s">
        <v>15</v>
      </c>
      <c r="D354" t="s">
        <v>46</v>
      </c>
      <c r="E354" t="s">
        <v>34</v>
      </c>
      <c r="F354" t="s">
        <v>35</v>
      </c>
      <c r="G354" t="s">
        <v>19</v>
      </c>
      <c r="H354">
        <v>186115</v>
      </c>
      <c r="I354">
        <v>21696.46</v>
      </c>
      <c r="J354" t="s">
        <v>79</v>
      </c>
      <c r="K354" t="s">
        <v>48</v>
      </c>
      <c r="L354">
        <v>2023</v>
      </c>
      <c r="M354" t="s">
        <v>338</v>
      </c>
    </row>
    <row r="355" spans="1:13" x14ac:dyDescent="0.35">
      <c r="A355" t="s">
        <v>1024</v>
      </c>
      <c r="B355" t="s">
        <v>1025</v>
      </c>
      <c r="C355" t="s">
        <v>40</v>
      </c>
      <c r="D355" t="s">
        <v>96</v>
      </c>
      <c r="E355" t="s">
        <v>27</v>
      </c>
      <c r="F355" t="s">
        <v>28</v>
      </c>
      <c r="G355" t="s">
        <v>36</v>
      </c>
      <c r="H355">
        <v>710093</v>
      </c>
      <c r="I355">
        <v>-16542.04</v>
      </c>
      <c r="J355" t="s">
        <v>79</v>
      </c>
      <c r="K355" t="s">
        <v>21</v>
      </c>
      <c r="L355">
        <v>2025</v>
      </c>
      <c r="M355" t="s">
        <v>1026</v>
      </c>
    </row>
    <row r="356" spans="1:13" x14ac:dyDescent="0.35">
      <c r="A356" t="s">
        <v>1027</v>
      </c>
      <c r="B356" t="s">
        <v>1028</v>
      </c>
      <c r="C356" t="s">
        <v>40</v>
      </c>
      <c r="D356" t="s">
        <v>96</v>
      </c>
      <c r="E356" t="s">
        <v>34</v>
      </c>
      <c r="F356" t="s">
        <v>101</v>
      </c>
      <c r="G356" t="s">
        <v>19</v>
      </c>
      <c r="H356">
        <v>94085</v>
      </c>
      <c r="I356">
        <v>5610.07</v>
      </c>
      <c r="J356" t="s">
        <v>47</v>
      </c>
      <c r="K356" t="s">
        <v>21</v>
      </c>
      <c r="L356">
        <v>2025</v>
      </c>
      <c r="M356" t="s">
        <v>1029</v>
      </c>
    </row>
    <row r="357" spans="1:13" x14ac:dyDescent="0.35">
      <c r="A357" t="s">
        <v>1030</v>
      </c>
      <c r="B357" t="s">
        <v>1031</v>
      </c>
      <c r="C357" t="s">
        <v>15</v>
      </c>
      <c r="D357" t="s">
        <v>16</v>
      </c>
      <c r="E357" t="s">
        <v>34</v>
      </c>
      <c r="F357" t="s">
        <v>101</v>
      </c>
      <c r="G357" t="s">
        <v>78</v>
      </c>
      <c r="H357">
        <v>37543</v>
      </c>
      <c r="I357">
        <v>4625.59</v>
      </c>
      <c r="J357" t="s">
        <v>79</v>
      </c>
      <c r="K357" t="s">
        <v>53</v>
      </c>
      <c r="L357">
        <v>2021</v>
      </c>
      <c r="M357" t="s">
        <v>431</v>
      </c>
    </row>
    <row r="358" spans="1:13" x14ac:dyDescent="0.35">
      <c r="A358" t="s">
        <v>1032</v>
      </c>
      <c r="B358" t="s">
        <v>1033</v>
      </c>
      <c r="C358" t="s">
        <v>76</v>
      </c>
      <c r="D358" t="s">
        <v>77</v>
      </c>
      <c r="E358" t="s">
        <v>17</v>
      </c>
      <c r="F358" t="s">
        <v>18</v>
      </c>
      <c r="G358" t="s">
        <v>19</v>
      </c>
      <c r="H358">
        <v>126575</v>
      </c>
      <c r="I358">
        <v>-98922.96</v>
      </c>
      <c r="J358" t="s">
        <v>79</v>
      </c>
      <c r="K358" t="s">
        <v>30</v>
      </c>
      <c r="L358">
        <v>2021</v>
      </c>
      <c r="M358" t="s">
        <v>1034</v>
      </c>
    </row>
    <row r="359" spans="1:13" x14ac:dyDescent="0.35">
      <c r="A359" t="s">
        <v>1035</v>
      </c>
      <c r="B359" t="s">
        <v>1036</v>
      </c>
      <c r="C359" t="s">
        <v>76</v>
      </c>
      <c r="D359" t="s">
        <v>77</v>
      </c>
      <c r="E359" t="s">
        <v>17</v>
      </c>
      <c r="F359" t="s">
        <v>112</v>
      </c>
      <c r="G359" t="s">
        <v>78</v>
      </c>
      <c r="H359">
        <v>10494</v>
      </c>
      <c r="I359">
        <v>-10016.86</v>
      </c>
      <c r="J359" t="s">
        <v>79</v>
      </c>
      <c r="K359" t="s">
        <v>48</v>
      </c>
      <c r="L359">
        <v>2025</v>
      </c>
      <c r="M359" t="s">
        <v>872</v>
      </c>
    </row>
    <row r="360" spans="1:13" x14ac:dyDescent="0.35">
      <c r="A360" t="s">
        <v>1037</v>
      </c>
      <c r="B360" t="s">
        <v>1038</v>
      </c>
      <c r="C360" t="s">
        <v>25</v>
      </c>
      <c r="D360" t="s">
        <v>83</v>
      </c>
      <c r="E360" t="s">
        <v>34</v>
      </c>
      <c r="F360" t="s">
        <v>101</v>
      </c>
      <c r="G360" t="s">
        <v>68</v>
      </c>
      <c r="H360">
        <v>97229</v>
      </c>
      <c r="I360">
        <v>7511.72</v>
      </c>
      <c r="J360" t="s">
        <v>212</v>
      </c>
      <c r="K360" t="s">
        <v>30</v>
      </c>
      <c r="L360">
        <v>2025</v>
      </c>
      <c r="M360" t="s">
        <v>320</v>
      </c>
    </row>
    <row r="361" spans="1:13" x14ac:dyDescent="0.35">
      <c r="A361" t="s">
        <v>1039</v>
      </c>
      <c r="B361" t="s">
        <v>1040</v>
      </c>
      <c r="C361" t="s">
        <v>15</v>
      </c>
      <c r="D361" t="s">
        <v>16</v>
      </c>
      <c r="E361" t="s">
        <v>17</v>
      </c>
      <c r="F361" t="s">
        <v>18</v>
      </c>
      <c r="G361" t="s">
        <v>68</v>
      </c>
      <c r="H361">
        <v>84197</v>
      </c>
      <c r="I361">
        <v>-67176.490000000005</v>
      </c>
      <c r="J361" t="s">
        <v>59</v>
      </c>
      <c r="K361" t="s">
        <v>21</v>
      </c>
      <c r="L361">
        <v>2024</v>
      </c>
      <c r="M361" t="s">
        <v>338</v>
      </c>
    </row>
    <row r="362" spans="1:13" x14ac:dyDescent="0.35">
      <c r="A362" t="s">
        <v>1041</v>
      </c>
      <c r="B362" t="s">
        <v>1042</v>
      </c>
      <c r="C362" t="s">
        <v>15</v>
      </c>
      <c r="D362" t="s">
        <v>57</v>
      </c>
      <c r="E362" t="s">
        <v>34</v>
      </c>
      <c r="F362" t="s">
        <v>58</v>
      </c>
      <c r="G362" t="s">
        <v>68</v>
      </c>
      <c r="H362">
        <v>221769</v>
      </c>
      <c r="I362">
        <v>25842.36</v>
      </c>
      <c r="J362" t="s">
        <v>20</v>
      </c>
      <c r="K362" t="s">
        <v>30</v>
      </c>
      <c r="L362">
        <v>2021</v>
      </c>
      <c r="M362" t="s">
        <v>732</v>
      </c>
    </row>
    <row r="363" spans="1:13" x14ac:dyDescent="0.35">
      <c r="A363" t="s">
        <v>1043</v>
      </c>
      <c r="B363" t="s">
        <v>1044</v>
      </c>
      <c r="C363" t="s">
        <v>40</v>
      </c>
      <c r="D363" t="s">
        <v>66</v>
      </c>
      <c r="E363" t="s">
        <v>34</v>
      </c>
      <c r="F363" t="s">
        <v>101</v>
      </c>
      <c r="G363" t="s">
        <v>19</v>
      </c>
      <c r="H363">
        <v>152137</v>
      </c>
      <c r="I363">
        <v>21658.52</v>
      </c>
      <c r="J363" t="s">
        <v>113</v>
      </c>
      <c r="K363" t="s">
        <v>30</v>
      </c>
      <c r="L363">
        <v>2024</v>
      </c>
      <c r="M363" t="s">
        <v>1045</v>
      </c>
    </row>
    <row r="364" spans="1:13" x14ac:dyDescent="0.35">
      <c r="A364" t="s">
        <v>1046</v>
      </c>
      <c r="B364" t="s">
        <v>1047</v>
      </c>
      <c r="C364" t="s">
        <v>40</v>
      </c>
      <c r="D364" t="s">
        <v>66</v>
      </c>
      <c r="E364" t="s">
        <v>17</v>
      </c>
      <c r="F364" t="s">
        <v>72</v>
      </c>
      <c r="G364" t="s">
        <v>68</v>
      </c>
      <c r="H364">
        <v>130878</v>
      </c>
      <c r="I364">
        <v>-111945.38</v>
      </c>
      <c r="J364" t="s">
        <v>59</v>
      </c>
      <c r="K364" t="s">
        <v>21</v>
      </c>
      <c r="L364">
        <v>2022</v>
      </c>
      <c r="M364" t="s">
        <v>823</v>
      </c>
    </row>
    <row r="365" spans="1:13" x14ac:dyDescent="0.35">
      <c r="A365" t="s">
        <v>1048</v>
      </c>
      <c r="B365" t="s">
        <v>1049</v>
      </c>
      <c r="C365" t="s">
        <v>76</v>
      </c>
      <c r="D365" t="s">
        <v>171</v>
      </c>
      <c r="E365" t="s">
        <v>34</v>
      </c>
      <c r="F365" t="s">
        <v>67</v>
      </c>
      <c r="G365" t="s">
        <v>36</v>
      </c>
      <c r="H365">
        <v>150440</v>
      </c>
      <c r="I365">
        <v>18949.68</v>
      </c>
      <c r="J365" t="s">
        <v>212</v>
      </c>
      <c r="K365" t="s">
        <v>53</v>
      </c>
      <c r="L365">
        <v>2024</v>
      </c>
      <c r="M365" t="s">
        <v>1050</v>
      </c>
    </row>
    <row r="366" spans="1:13" x14ac:dyDescent="0.35">
      <c r="A366" t="s">
        <v>1051</v>
      </c>
      <c r="B366" t="s">
        <v>1052</v>
      </c>
      <c r="C366" t="s">
        <v>15</v>
      </c>
      <c r="D366" t="s">
        <v>57</v>
      </c>
      <c r="E366" t="s">
        <v>17</v>
      </c>
      <c r="F366" t="s">
        <v>52</v>
      </c>
      <c r="G366" t="s">
        <v>36</v>
      </c>
      <c r="H366">
        <v>59665</v>
      </c>
      <c r="I366">
        <v>-51578.95</v>
      </c>
      <c r="J366" t="s">
        <v>29</v>
      </c>
      <c r="K366" t="s">
        <v>21</v>
      </c>
      <c r="L366">
        <v>2021</v>
      </c>
      <c r="M366" t="s">
        <v>1053</v>
      </c>
    </row>
    <row r="367" spans="1:13" x14ac:dyDescent="0.35">
      <c r="A367" t="s">
        <v>1054</v>
      </c>
      <c r="B367" t="s">
        <v>1055</v>
      </c>
      <c r="C367" t="s">
        <v>40</v>
      </c>
      <c r="D367" t="s">
        <v>96</v>
      </c>
      <c r="E367" t="s">
        <v>17</v>
      </c>
      <c r="F367" t="s">
        <v>112</v>
      </c>
      <c r="G367" t="s">
        <v>68</v>
      </c>
      <c r="H367">
        <v>191415</v>
      </c>
      <c r="I367">
        <v>-176924.56</v>
      </c>
      <c r="J367" t="s">
        <v>29</v>
      </c>
      <c r="K367" t="s">
        <v>30</v>
      </c>
      <c r="L367">
        <v>2023</v>
      </c>
      <c r="M367" t="s">
        <v>303</v>
      </c>
    </row>
    <row r="368" spans="1:13" x14ac:dyDescent="0.35">
      <c r="A368" t="s">
        <v>1056</v>
      </c>
      <c r="B368" t="s">
        <v>207</v>
      </c>
      <c r="C368" t="s">
        <v>76</v>
      </c>
      <c r="D368" t="s">
        <v>105</v>
      </c>
      <c r="E368" t="s">
        <v>17</v>
      </c>
      <c r="F368" t="s">
        <v>112</v>
      </c>
      <c r="G368" t="s">
        <v>78</v>
      </c>
      <c r="H368">
        <v>139581</v>
      </c>
      <c r="I368">
        <v>-133832.59</v>
      </c>
      <c r="J368" t="s">
        <v>47</v>
      </c>
      <c r="K368" t="s">
        <v>21</v>
      </c>
      <c r="L368">
        <v>2023</v>
      </c>
      <c r="M368" t="s">
        <v>1057</v>
      </c>
    </row>
    <row r="369" spans="1:13" x14ac:dyDescent="0.35">
      <c r="A369" t="s">
        <v>1058</v>
      </c>
      <c r="B369" t="s">
        <v>1059</v>
      </c>
      <c r="C369" t="s">
        <v>40</v>
      </c>
      <c r="D369" t="s">
        <v>96</v>
      </c>
      <c r="E369" t="s">
        <v>34</v>
      </c>
      <c r="F369" t="s">
        <v>58</v>
      </c>
      <c r="G369" t="s">
        <v>19</v>
      </c>
      <c r="H369">
        <v>58728</v>
      </c>
      <c r="I369">
        <v>8042.97</v>
      </c>
      <c r="J369" t="s">
        <v>97</v>
      </c>
      <c r="K369" t="s">
        <v>21</v>
      </c>
      <c r="L369">
        <v>2025</v>
      </c>
      <c r="M369" t="s">
        <v>967</v>
      </c>
    </row>
    <row r="370" spans="1:13" x14ac:dyDescent="0.35">
      <c r="A370" t="s">
        <v>1060</v>
      </c>
      <c r="B370" t="s">
        <v>1061</v>
      </c>
      <c r="C370" t="s">
        <v>15</v>
      </c>
      <c r="D370" t="s">
        <v>46</v>
      </c>
      <c r="E370" t="s">
        <v>34</v>
      </c>
      <c r="F370" t="s">
        <v>67</v>
      </c>
      <c r="G370" t="s">
        <v>78</v>
      </c>
      <c r="H370">
        <v>216923</v>
      </c>
      <c r="I370">
        <v>46144.29</v>
      </c>
      <c r="J370" t="s">
        <v>212</v>
      </c>
      <c r="K370" t="s">
        <v>53</v>
      </c>
      <c r="L370">
        <v>2022</v>
      </c>
      <c r="M370" t="s">
        <v>1062</v>
      </c>
    </row>
    <row r="371" spans="1:13" x14ac:dyDescent="0.35">
      <c r="A371" t="s">
        <v>1063</v>
      </c>
      <c r="B371" t="s">
        <v>1064</v>
      </c>
      <c r="C371" t="s">
        <v>40</v>
      </c>
      <c r="D371" t="s">
        <v>66</v>
      </c>
      <c r="E371" t="s">
        <v>34</v>
      </c>
      <c r="F371" t="s">
        <v>67</v>
      </c>
      <c r="G371" t="s">
        <v>19</v>
      </c>
      <c r="H371">
        <v>275877</v>
      </c>
      <c r="I371">
        <v>67391.37</v>
      </c>
      <c r="J371" t="s">
        <v>59</v>
      </c>
      <c r="K371" t="s">
        <v>53</v>
      </c>
      <c r="L371">
        <v>2025</v>
      </c>
      <c r="M371" t="s">
        <v>693</v>
      </c>
    </row>
    <row r="372" spans="1:13" x14ac:dyDescent="0.35">
      <c r="A372" t="s">
        <v>1065</v>
      </c>
      <c r="B372" t="s">
        <v>1066</v>
      </c>
      <c r="C372" t="s">
        <v>25</v>
      </c>
      <c r="D372" t="s">
        <v>149</v>
      </c>
      <c r="E372" t="s">
        <v>17</v>
      </c>
      <c r="F372" t="s">
        <v>72</v>
      </c>
      <c r="G372" t="s">
        <v>19</v>
      </c>
      <c r="H372">
        <v>167005</v>
      </c>
      <c r="I372">
        <v>-157245.47</v>
      </c>
      <c r="J372" t="s">
        <v>79</v>
      </c>
      <c r="K372" t="s">
        <v>53</v>
      </c>
      <c r="L372">
        <v>2021</v>
      </c>
      <c r="M372" t="s">
        <v>1067</v>
      </c>
    </row>
    <row r="373" spans="1:13" x14ac:dyDescent="0.35">
      <c r="A373" t="s">
        <v>1068</v>
      </c>
      <c r="B373" t="s">
        <v>1069</v>
      </c>
      <c r="C373" t="s">
        <v>25</v>
      </c>
      <c r="D373" t="s">
        <v>149</v>
      </c>
      <c r="E373" t="s">
        <v>17</v>
      </c>
      <c r="F373" t="s">
        <v>112</v>
      </c>
      <c r="G373" t="s">
        <v>19</v>
      </c>
      <c r="H373">
        <v>135481</v>
      </c>
      <c r="I373">
        <v>-130131.66</v>
      </c>
      <c r="J373" t="s">
        <v>97</v>
      </c>
      <c r="K373" t="s">
        <v>30</v>
      </c>
      <c r="L373">
        <v>2021</v>
      </c>
      <c r="M373" t="s">
        <v>473</v>
      </c>
    </row>
    <row r="374" spans="1:13" x14ac:dyDescent="0.35">
      <c r="A374" t="s">
        <v>1070</v>
      </c>
      <c r="B374" t="s">
        <v>1071</v>
      </c>
      <c r="C374" t="s">
        <v>40</v>
      </c>
      <c r="D374" t="s">
        <v>66</v>
      </c>
      <c r="E374" t="s">
        <v>17</v>
      </c>
      <c r="F374" t="s">
        <v>112</v>
      </c>
      <c r="G374" t="s">
        <v>19</v>
      </c>
      <c r="H374">
        <v>107229</v>
      </c>
      <c r="I374">
        <v>-104001.76</v>
      </c>
      <c r="J374" t="s">
        <v>47</v>
      </c>
      <c r="K374" t="s">
        <v>30</v>
      </c>
      <c r="L374">
        <v>2025</v>
      </c>
      <c r="M374" t="s">
        <v>487</v>
      </c>
    </row>
    <row r="375" spans="1:13" x14ac:dyDescent="0.35">
      <c r="A375" t="s">
        <v>1072</v>
      </c>
      <c r="B375" t="s">
        <v>1073</v>
      </c>
      <c r="C375" t="s">
        <v>76</v>
      </c>
      <c r="D375" t="s">
        <v>171</v>
      </c>
      <c r="E375" t="s">
        <v>34</v>
      </c>
      <c r="F375" t="s">
        <v>35</v>
      </c>
      <c r="G375" t="s">
        <v>36</v>
      </c>
      <c r="H375">
        <v>101587</v>
      </c>
      <c r="I375">
        <v>8497.8700000000008</v>
      </c>
      <c r="J375" t="s">
        <v>79</v>
      </c>
      <c r="K375" t="s">
        <v>48</v>
      </c>
      <c r="L375">
        <v>2024</v>
      </c>
      <c r="M375" t="s">
        <v>1074</v>
      </c>
    </row>
    <row r="376" spans="1:13" x14ac:dyDescent="0.35">
      <c r="A376" t="s">
        <v>1075</v>
      </c>
      <c r="B376" t="s">
        <v>1076</v>
      </c>
      <c r="C376" t="s">
        <v>76</v>
      </c>
      <c r="D376" t="s">
        <v>105</v>
      </c>
      <c r="E376" t="s">
        <v>138</v>
      </c>
      <c r="F376" t="s">
        <v>139</v>
      </c>
      <c r="G376" t="s">
        <v>36</v>
      </c>
      <c r="H376">
        <v>311623</v>
      </c>
      <c r="I376">
        <v>56804.86</v>
      </c>
      <c r="J376" t="s">
        <v>212</v>
      </c>
      <c r="K376" t="s">
        <v>53</v>
      </c>
      <c r="L376">
        <v>2023</v>
      </c>
      <c r="M376" t="s">
        <v>411</v>
      </c>
    </row>
    <row r="377" spans="1:13" x14ac:dyDescent="0.35">
      <c r="A377" t="s">
        <v>1077</v>
      </c>
      <c r="B377" t="s">
        <v>1078</v>
      </c>
      <c r="C377" t="s">
        <v>76</v>
      </c>
      <c r="D377" t="s">
        <v>105</v>
      </c>
      <c r="E377" t="s">
        <v>17</v>
      </c>
      <c r="F377" t="s">
        <v>52</v>
      </c>
      <c r="G377" t="s">
        <v>19</v>
      </c>
      <c r="H377">
        <v>37120</v>
      </c>
      <c r="I377">
        <v>-26029.43</v>
      </c>
      <c r="J377" t="s">
        <v>47</v>
      </c>
      <c r="K377" t="s">
        <v>48</v>
      </c>
      <c r="L377">
        <v>2024</v>
      </c>
      <c r="M377" t="s">
        <v>350</v>
      </c>
    </row>
    <row r="378" spans="1:13" x14ac:dyDescent="0.35">
      <c r="A378" t="s">
        <v>1079</v>
      </c>
      <c r="B378" t="s">
        <v>1080</v>
      </c>
      <c r="C378" t="s">
        <v>40</v>
      </c>
      <c r="D378" t="s">
        <v>96</v>
      </c>
      <c r="E378" t="s">
        <v>17</v>
      </c>
      <c r="F378" t="s">
        <v>52</v>
      </c>
      <c r="G378" t="s">
        <v>68</v>
      </c>
      <c r="H378">
        <v>87515</v>
      </c>
      <c r="I378">
        <v>-67199.240000000005</v>
      </c>
      <c r="J378" t="s">
        <v>79</v>
      </c>
      <c r="K378" t="s">
        <v>53</v>
      </c>
      <c r="L378">
        <v>2022</v>
      </c>
      <c r="M378" t="s">
        <v>1081</v>
      </c>
    </row>
    <row r="379" spans="1:13" x14ac:dyDescent="0.35">
      <c r="A379" t="s">
        <v>1082</v>
      </c>
      <c r="B379" t="s">
        <v>1083</v>
      </c>
      <c r="C379" t="s">
        <v>40</v>
      </c>
      <c r="D379" t="s">
        <v>41</v>
      </c>
      <c r="E379" t="s">
        <v>34</v>
      </c>
      <c r="F379" t="s">
        <v>101</v>
      </c>
      <c r="G379" t="s">
        <v>36</v>
      </c>
      <c r="H379">
        <v>152686</v>
      </c>
      <c r="I379">
        <v>13097.27</v>
      </c>
      <c r="J379" t="s">
        <v>47</v>
      </c>
      <c r="K379" t="s">
        <v>21</v>
      </c>
      <c r="L379">
        <v>2022</v>
      </c>
      <c r="M379" t="s">
        <v>1084</v>
      </c>
    </row>
    <row r="380" spans="1:13" x14ac:dyDescent="0.35">
      <c r="A380" t="s">
        <v>1085</v>
      </c>
      <c r="B380" t="s">
        <v>1086</v>
      </c>
      <c r="C380" t="s">
        <v>76</v>
      </c>
      <c r="D380" t="s">
        <v>171</v>
      </c>
      <c r="E380" t="s">
        <v>34</v>
      </c>
      <c r="F380" t="s">
        <v>101</v>
      </c>
      <c r="G380" t="s">
        <v>78</v>
      </c>
      <c r="H380">
        <v>97743</v>
      </c>
      <c r="I380">
        <v>21824.17</v>
      </c>
      <c r="J380" t="s">
        <v>47</v>
      </c>
      <c r="K380" t="s">
        <v>30</v>
      </c>
      <c r="L380">
        <v>2021</v>
      </c>
      <c r="M380" t="s">
        <v>1087</v>
      </c>
    </row>
    <row r="381" spans="1:13" x14ac:dyDescent="0.35">
      <c r="A381" t="s">
        <v>1088</v>
      </c>
      <c r="B381" t="s">
        <v>1089</v>
      </c>
      <c r="C381" t="s">
        <v>76</v>
      </c>
      <c r="D381" t="s">
        <v>77</v>
      </c>
      <c r="E381" t="s">
        <v>34</v>
      </c>
      <c r="F381" t="s">
        <v>35</v>
      </c>
      <c r="G381" t="s">
        <v>36</v>
      </c>
      <c r="H381">
        <v>163250</v>
      </c>
      <c r="I381">
        <v>25697.45</v>
      </c>
      <c r="J381" t="s">
        <v>212</v>
      </c>
      <c r="K381" t="s">
        <v>30</v>
      </c>
      <c r="L381">
        <v>2024</v>
      </c>
      <c r="M381" t="s">
        <v>243</v>
      </c>
    </row>
    <row r="382" spans="1:13" x14ac:dyDescent="0.35">
      <c r="A382" t="s">
        <v>1090</v>
      </c>
      <c r="B382" t="s">
        <v>1091</v>
      </c>
      <c r="C382" t="s">
        <v>15</v>
      </c>
      <c r="D382" t="s">
        <v>16</v>
      </c>
      <c r="E382" t="s">
        <v>34</v>
      </c>
      <c r="F382" t="s">
        <v>101</v>
      </c>
      <c r="G382" t="s">
        <v>19</v>
      </c>
      <c r="H382">
        <v>206876</v>
      </c>
      <c r="I382">
        <v>19604.71</v>
      </c>
      <c r="J382" t="s">
        <v>212</v>
      </c>
      <c r="K382" t="s">
        <v>48</v>
      </c>
      <c r="L382">
        <v>2023</v>
      </c>
      <c r="M382" t="s">
        <v>1092</v>
      </c>
    </row>
    <row r="383" spans="1:13" x14ac:dyDescent="0.35">
      <c r="A383" t="s">
        <v>1093</v>
      </c>
      <c r="B383" t="s">
        <v>1094</v>
      </c>
      <c r="C383" t="s">
        <v>76</v>
      </c>
      <c r="D383" t="s">
        <v>105</v>
      </c>
      <c r="E383" t="s">
        <v>34</v>
      </c>
      <c r="F383" t="s">
        <v>67</v>
      </c>
      <c r="G383" t="s">
        <v>19</v>
      </c>
      <c r="H383">
        <v>206037</v>
      </c>
      <c r="I383">
        <v>48635.79</v>
      </c>
      <c r="J383" t="s">
        <v>47</v>
      </c>
      <c r="K383" t="s">
        <v>53</v>
      </c>
      <c r="L383">
        <v>2022</v>
      </c>
      <c r="M383" t="s">
        <v>1095</v>
      </c>
    </row>
    <row r="384" spans="1:13" x14ac:dyDescent="0.35">
      <c r="A384" t="s">
        <v>1096</v>
      </c>
      <c r="B384" t="s">
        <v>1097</v>
      </c>
      <c r="C384" t="s">
        <v>40</v>
      </c>
      <c r="D384" t="s">
        <v>96</v>
      </c>
      <c r="E384" t="s">
        <v>34</v>
      </c>
      <c r="F384" t="s">
        <v>58</v>
      </c>
      <c r="G384" t="s">
        <v>36</v>
      </c>
      <c r="H384">
        <v>77935</v>
      </c>
      <c r="I384">
        <v>16294.92</v>
      </c>
      <c r="J384" t="s">
        <v>29</v>
      </c>
      <c r="K384" t="s">
        <v>48</v>
      </c>
      <c r="L384">
        <v>2023</v>
      </c>
      <c r="M384" t="s">
        <v>764</v>
      </c>
    </row>
    <row r="385" spans="1:13" x14ac:dyDescent="0.35">
      <c r="A385" t="s">
        <v>1098</v>
      </c>
      <c r="B385" t="s">
        <v>1099</v>
      </c>
      <c r="C385" t="s">
        <v>15</v>
      </c>
      <c r="D385" t="s">
        <v>16</v>
      </c>
      <c r="E385" t="s">
        <v>17</v>
      </c>
      <c r="F385" t="s">
        <v>112</v>
      </c>
      <c r="G385" t="s">
        <v>78</v>
      </c>
      <c r="H385">
        <v>89208</v>
      </c>
      <c r="I385">
        <v>-77695.69</v>
      </c>
      <c r="J385" t="s">
        <v>59</v>
      </c>
      <c r="K385" t="s">
        <v>30</v>
      </c>
      <c r="L385">
        <v>2021</v>
      </c>
      <c r="M385" t="s">
        <v>1029</v>
      </c>
    </row>
    <row r="386" spans="1:13" x14ac:dyDescent="0.35">
      <c r="A386" t="s">
        <v>1100</v>
      </c>
      <c r="B386" t="s">
        <v>822</v>
      </c>
      <c r="C386" t="s">
        <v>76</v>
      </c>
      <c r="D386" t="s">
        <v>171</v>
      </c>
      <c r="E386" t="s">
        <v>17</v>
      </c>
      <c r="F386" t="s">
        <v>72</v>
      </c>
      <c r="G386" t="s">
        <v>19</v>
      </c>
      <c r="H386">
        <v>190496</v>
      </c>
      <c r="I386">
        <v>-147725.01999999999</v>
      </c>
      <c r="J386" t="s">
        <v>97</v>
      </c>
      <c r="K386" t="s">
        <v>30</v>
      </c>
      <c r="L386">
        <v>2021</v>
      </c>
      <c r="M386" t="s">
        <v>1101</v>
      </c>
    </row>
    <row r="387" spans="1:13" x14ac:dyDescent="0.35">
      <c r="A387" t="s">
        <v>1102</v>
      </c>
      <c r="B387" t="s">
        <v>65</v>
      </c>
      <c r="C387" t="s">
        <v>25</v>
      </c>
      <c r="D387" t="s">
        <v>149</v>
      </c>
      <c r="E387" t="s">
        <v>34</v>
      </c>
      <c r="F387" t="s">
        <v>35</v>
      </c>
      <c r="G387" t="s">
        <v>36</v>
      </c>
      <c r="H387">
        <v>237675</v>
      </c>
      <c r="I387">
        <v>28029.07</v>
      </c>
      <c r="J387" t="s">
        <v>113</v>
      </c>
      <c r="K387" t="s">
        <v>21</v>
      </c>
      <c r="L387">
        <v>2025</v>
      </c>
      <c r="M387" t="s">
        <v>536</v>
      </c>
    </row>
    <row r="388" spans="1:13" x14ac:dyDescent="0.35">
      <c r="A388" t="s">
        <v>1103</v>
      </c>
      <c r="B388" t="s">
        <v>1104</v>
      </c>
      <c r="C388" t="s">
        <v>25</v>
      </c>
      <c r="D388" t="s">
        <v>26</v>
      </c>
      <c r="E388" t="s">
        <v>34</v>
      </c>
      <c r="F388" t="s">
        <v>35</v>
      </c>
      <c r="G388" t="s">
        <v>19</v>
      </c>
      <c r="H388">
        <v>31952</v>
      </c>
      <c r="I388">
        <v>5343.23</v>
      </c>
      <c r="J388" t="s">
        <v>113</v>
      </c>
      <c r="K388" t="s">
        <v>53</v>
      </c>
      <c r="L388">
        <v>2024</v>
      </c>
      <c r="M388" t="s">
        <v>1105</v>
      </c>
    </row>
    <row r="389" spans="1:13" x14ac:dyDescent="0.35">
      <c r="A389" t="s">
        <v>1106</v>
      </c>
      <c r="B389" t="s">
        <v>1107</v>
      </c>
      <c r="C389" t="s">
        <v>25</v>
      </c>
      <c r="D389" t="s">
        <v>83</v>
      </c>
      <c r="E389" t="s">
        <v>34</v>
      </c>
      <c r="F389" t="s">
        <v>67</v>
      </c>
      <c r="G389" t="s">
        <v>19</v>
      </c>
      <c r="H389">
        <v>37083</v>
      </c>
      <c r="I389">
        <v>7764.6</v>
      </c>
      <c r="J389" t="s">
        <v>59</v>
      </c>
      <c r="K389" t="s">
        <v>30</v>
      </c>
      <c r="L389">
        <v>2024</v>
      </c>
      <c r="M389" t="s">
        <v>380</v>
      </c>
    </row>
    <row r="390" spans="1:13" x14ac:dyDescent="0.35">
      <c r="A390" t="s">
        <v>1108</v>
      </c>
      <c r="B390" t="s">
        <v>1109</v>
      </c>
      <c r="C390" t="s">
        <v>15</v>
      </c>
      <c r="D390" t="s">
        <v>16</v>
      </c>
      <c r="E390" t="s">
        <v>34</v>
      </c>
      <c r="F390" t="s">
        <v>101</v>
      </c>
      <c r="G390" t="s">
        <v>19</v>
      </c>
      <c r="H390">
        <v>277013</v>
      </c>
      <c r="I390">
        <v>62631.5</v>
      </c>
      <c r="J390" t="s">
        <v>212</v>
      </c>
      <c r="K390" t="s">
        <v>48</v>
      </c>
      <c r="L390">
        <v>2023</v>
      </c>
      <c r="M390" t="s">
        <v>1110</v>
      </c>
    </row>
    <row r="391" spans="1:13" x14ac:dyDescent="0.35">
      <c r="A391" t="s">
        <v>1111</v>
      </c>
      <c r="B391" t="s">
        <v>1112</v>
      </c>
      <c r="C391" t="s">
        <v>25</v>
      </c>
      <c r="D391" t="s">
        <v>26</v>
      </c>
      <c r="E391" t="s">
        <v>27</v>
      </c>
      <c r="F391" t="s">
        <v>379</v>
      </c>
      <c r="G391" t="s">
        <v>19</v>
      </c>
      <c r="H391">
        <v>155347</v>
      </c>
      <c r="I391">
        <v>7073.48</v>
      </c>
      <c r="J391" t="s">
        <v>113</v>
      </c>
      <c r="K391" t="s">
        <v>53</v>
      </c>
      <c r="L391">
        <v>2024</v>
      </c>
      <c r="M391" t="s">
        <v>603</v>
      </c>
    </row>
    <row r="392" spans="1:13" x14ac:dyDescent="0.35">
      <c r="A392" t="s">
        <v>1113</v>
      </c>
      <c r="B392" t="s">
        <v>1114</v>
      </c>
      <c r="C392" t="s">
        <v>76</v>
      </c>
      <c r="D392" t="s">
        <v>171</v>
      </c>
      <c r="E392" t="s">
        <v>34</v>
      </c>
      <c r="F392" t="s">
        <v>101</v>
      </c>
      <c r="G392" t="s">
        <v>36</v>
      </c>
      <c r="H392">
        <v>44454</v>
      </c>
      <c r="I392">
        <v>9357.86</v>
      </c>
      <c r="J392" t="s">
        <v>97</v>
      </c>
      <c r="K392" t="s">
        <v>30</v>
      </c>
      <c r="L392">
        <v>2024</v>
      </c>
      <c r="M392" t="s">
        <v>1115</v>
      </c>
    </row>
    <row r="393" spans="1:13" x14ac:dyDescent="0.35">
      <c r="A393" t="s">
        <v>1116</v>
      </c>
      <c r="B393" t="s">
        <v>1117</v>
      </c>
      <c r="C393" t="s">
        <v>40</v>
      </c>
      <c r="D393" t="s">
        <v>96</v>
      </c>
      <c r="E393" t="s">
        <v>34</v>
      </c>
      <c r="F393" t="s">
        <v>101</v>
      </c>
      <c r="G393" t="s">
        <v>36</v>
      </c>
      <c r="H393">
        <v>91656</v>
      </c>
      <c r="I393">
        <v>7591.75</v>
      </c>
      <c r="J393" t="s">
        <v>113</v>
      </c>
      <c r="K393" t="s">
        <v>48</v>
      </c>
      <c r="L393">
        <v>2025</v>
      </c>
      <c r="M393" t="s">
        <v>1118</v>
      </c>
    </row>
    <row r="394" spans="1:13" x14ac:dyDescent="0.35">
      <c r="A394" t="s">
        <v>1119</v>
      </c>
      <c r="B394" t="s">
        <v>1120</v>
      </c>
      <c r="C394" t="s">
        <v>40</v>
      </c>
      <c r="D394" t="s">
        <v>96</v>
      </c>
      <c r="E394" t="s">
        <v>17</v>
      </c>
      <c r="F394" t="s">
        <v>72</v>
      </c>
      <c r="G394" t="s">
        <v>68</v>
      </c>
      <c r="H394">
        <v>138703</v>
      </c>
      <c r="I394">
        <v>-124610.96</v>
      </c>
      <c r="J394" t="s">
        <v>79</v>
      </c>
      <c r="K394" t="s">
        <v>30</v>
      </c>
      <c r="L394">
        <v>2021</v>
      </c>
      <c r="M394" t="s">
        <v>320</v>
      </c>
    </row>
    <row r="395" spans="1:13" x14ac:dyDescent="0.35">
      <c r="A395" t="s">
        <v>1121</v>
      </c>
      <c r="B395" t="s">
        <v>1122</v>
      </c>
      <c r="C395" t="s">
        <v>76</v>
      </c>
      <c r="D395" t="s">
        <v>105</v>
      </c>
      <c r="E395" t="s">
        <v>34</v>
      </c>
      <c r="F395" t="s">
        <v>67</v>
      </c>
      <c r="G395" t="s">
        <v>78</v>
      </c>
      <c r="H395">
        <v>175090</v>
      </c>
      <c r="I395">
        <v>15973.19</v>
      </c>
      <c r="J395" t="s">
        <v>113</v>
      </c>
      <c r="K395" t="s">
        <v>30</v>
      </c>
      <c r="L395">
        <v>2021</v>
      </c>
      <c r="M395" t="s">
        <v>1123</v>
      </c>
    </row>
    <row r="396" spans="1:13" x14ac:dyDescent="0.35">
      <c r="A396" t="s">
        <v>1124</v>
      </c>
      <c r="B396" t="s">
        <v>1125</v>
      </c>
      <c r="C396" t="s">
        <v>40</v>
      </c>
      <c r="D396" t="s">
        <v>66</v>
      </c>
      <c r="E396" t="s">
        <v>34</v>
      </c>
      <c r="F396" t="s">
        <v>35</v>
      </c>
      <c r="G396" t="s">
        <v>36</v>
      </c>
      <c r="H396">
        <v>178391</v>
      </c>
      <c r="I396">
        <v>42367.88</v>
      </c>
      <c r="J396" t="s">
        <v>47</v>
      </c>
      <c r="K396" t="s">
        <v>30</v>
      </c>
      <c r="L396">
        <v>2022</v>
      </c>
      <c r="M396" t="s">
        <v>514</v>
      </c>
    </row>
    <row r="397" spans="1:13" x14ac:dyDescent="0.35">
      <c r="A397" t="s">
        <v>1126</v>
      </c>
      <c r="B397" t="s">
        <v>1127</v>
      </c>
      <c r="C397" t="s">
        <v>25</v>
      </c>
      <c r="D397" t="s">
        <v>26</v>
      </c>
      <c r="E397" t="s">
        <v>34</v>
      </c>
      <c r="F397" t="s">
        <v>58</v>
      </c>
      <c r="G397" t="s">
        <v>78</v>
      </c>
      <c r="H397">
        <v>226136</v>
      </c>
      <c r="I397">
        <v>45658.75</v>
      </c>
      <c r="J397" t="s">
        <v>97</v>
      </c>
      <c r="K397" t="s">
        <v>30</v>
      </c>
      <c r="L397">
        <v>2025</v>
      </c>
      <c r="M397" t="s">
        <v>1053</v>
      </c>
    </row>
    <row r="398" spans="1:13" x14ac:dyDescent="0.35">
      <c r="A398" t="s">
        <v>1128</v>
      </c>
      <c r="B398" t="s">
        <v>1061</v>
      </c>
      <c r="C398" t="s">
        <v>40</v>
      </c>
      <c r="D398" t="s">
        <v>96</v>
      </c>
      <c r="E398" t="s">
        <v>34</v>
      </c>
      <c r="F398" t="s">
        <v>35</v>
      </c>
      <c r="G398" t="s">
        <v>36</v>
      </c>
      <c r="H398">
        <v>239242</v>
      </c>
      <c r="I398">
        <v>13845.42</v>
      </c>
      <c r="J398" t="s">
        <v>97</v>
      </c>
      <c r="K398" t="s">
        <v>53</v>
      </c>
      <c r="L398">
        <v>2022</v>
      </c>
      <c r="M398" t="s">
        <v>831</v>
      </c>
    </row>
    <row r="399" spans="1:13" x14ac:dyDescent="0.35">
      <c r="A399" t="s">
        <v>1129</v>
      </c>
      <c r="B399" t="s">
        <v>912</v>
      </c>
      <c r="C399" t="s">
        <v>15</v>
      </c>
      <c r="D399" t="s">
        <v>16</v>
      </c>
      <c r="E399" t="s">
        <v>34</v>
      </c>
      <c r="F399" t="s">
        <v>67</v>
      </c>
      <c r="G399" t="s">
        <v>19</v>
      </c>
      <c r="H399">
        <v>298921</v>
      </c>
      <c r="I399">
        <v>24879.09</v>
      </c>
      <c r="J399" t="s">
        <v>59</v>
      </c>
      <c r="K399" t="s">
        <v>48</v>
      </c>
      <c r="L399">
        <v>2025</v>
      </c>
      <c r="M399" t="s">
        <v>1130</v>
      </c>
    </row>
    <row r="400" spans="1:13" x14ac:dyDescent="0.35">
      <c r="A400" t="s">
        <v>1131</v>
      </c>
      <c r="B400" t="s">
        <v>1132</v>
      </c>
      <c r="C400" t="s">
        <v>40</v>
      </c>
      <c r="D400" t="s">
        <v>41</v>
      </c>
      <c r="E400" t="s">
        <v>17</v>
      </c>
      <c r="F400" t="s">
        <v>18</v>
      </c>
      <c r="G400" t="s">
        <v>19</v>
      </c>
      <c r="H400">
        <v>121482</v>
      </c>
      <c r="I400">
        <v>-102697.29</v>
      </c>
      <c r="J400" t="s">
        <v>212</v>
      </c>
      <c r="K400" t="s">
        <v>21</v>
      </c>
      <c r="L400">
        <v>2025</v>
      </c>
      <c r="M400" t="s">
        <v>881</v>
      </c>
    </row>
    <row r="401" spans="1:13" x14ac:dyDescent="0.35">
      <c r="A401" t="s">
        <v>1133</v>
      </c>
      <c r="B401" t="s">
        <v>687</v>
      </c>
      <c r="C401" t="s">
        <v>15</v>
      </c>
      <c r="D401" t="s">
        <v>16</v>
      </c>
      <c r="E401" t="s">
        <v>34</v>
      </c>
      <c r="F401" t="s">
        <v>58</v>
      </c>
      <c r="G401" t="s">
        <v>78</v>
      </c>
      <c r="H401">
        <v>298014</v>
      </c>
      <c r="I401">
        <v>42168.35</v>
      </c>
      <c r="J401" t="s">
        <v>59</v>
      </c>
      <c r="K401" t="s">
        <v>53</v>
      </c>
      <c r="L401">
        <v>2022</v>
      </c>
      <c r="M401" t="s">
        <v>1134</v>
      </c>
    </row>
    <row r="402" spans="1:13" x14ac:dyDescent="0.35">
      <c r="A402" t="s">
        <v>1135</v>
      </c>
      <c r="B402" t="s">
        <v>1136</v>
      </c>
      <c r="C402" t="s">
        <v>15</v>
      </c>
      <c r="D402" t="s">
        <v>16</v>
      </c>
      <c r="E402" t="s">
        <v>138</v>
      </c>
      <c r="F402" t="s">
        <v>208</v>
      </c>
      <c r="G402" t="s">
        <v>19</v>
      </c>
      <c r="H402">
        <v>55428</v>
      </c>
      <c r="I402">
        <v>-1041.8699999999999</v>
      </c>
      <c r="J402" t="s">
        <v>29</v>
      </c>
      <c r="K402" t="s">
        <v>53</v>
      </c>
      <c r="L402">
        <v>2021</v>
      </c>
      <c r="M402" t="s">
        <v>970</v>
      </c>
    </row>
    <row r="403" spans="1:13" x14ac:dyDescent="0.35">
      <c r="A403" t="s">
        <v>1137</v>
      </c>
      <c r="B403" t="s">
        <v>1138</v>
      </c>
      <c r="C403" t="s">
        <v>76</v>
      </c>
      <c r="D403" t="s">
        <v>171</v>
      </c>
      <c r="E403" t="s">
        <v>17</v>
      </c>
      <c r="F403" t="s">
        <v>42</v>
      </c>
      <c r="G403" t="s">
        <v>19</v>
      </c>
      <c r="H403">
        <v>6282</v>
      </c>
      <c r="I403">
        <v>-4987.18</v>
      </c>
      <c r="J403" t="s">
        <v>29</v>
      </c>
      <c r="K403" t="s">
        <v>30</v>
      </c>
      <c r="L403">
        <v>2021</v>
      </c>
      <c r="M403" t="s">
        <v>1139</v>
      </c>
    </row>
    <row r="404" spans="1:13" x14ac:dyDescent="0.35">
      <c r="A404" t="s">
        <v>1140</v>
      </c>
      <c r="B404" t="s">
        <v>1141</v>
      </c>
      <c r="C404" t="s">
        <v>40</v>
      </c>
      <c r="D404" t="s">
        <v>66</v>
      </c>
      <c r="E404" t="s">
        <v>17</v>
      </c>
      <c r="F404" t="s">
        <v>42</v>
      </c>
      <c r="G404" t="s">
        <v>36</v>
      </c>
      <c r="H404">
        <v>89094</v>
      </c>
      <c r="I404">
        <v>-86392.18</v>
      </c>
      <c r="J404" t="s">
        <v>20</v>
      </c>
      <c r="K404" t="s">
        <v>53</v>
      </c>
      <c r="L404">
        <v>2023</v>
      </c>
      <c r="M404" t="s">
        <v>1142</v>
      </c>
    </row>
    <row r="405" spans="1:13" x14ac:dyDescent="0.35">
      <c r="A405" t="s">
        <v>1143</v>
      </c>
      <c r="B405" t="s">
        <v>1144</v>
      </c>
      <c r="C405" t="s">
        <v>25</v>
      </c>
      <c r="D405" t="s">
        <v>83</v>
      </c>
      <c r="E405" t="s">
        <v>34</v>
      </c>
      <c r="F405" t="s">
        <v>35</v>
      </c>
      <c r="G405" t="s">
        <v>78</v>
      </c>
      <c r="H405">
        <v>225256</v>
      </c>
      <c r="I405">
        <v>51574.559999999998</v>
      </c>
      <c r="J405" t="s">
        <v>212</v>
      </c>
      <c r="K405" t="s">
        <v>30</v>
      </c>
      <c r="L405">
        <v>2024</v>
      </c>
      <c r="M405" t="s">
        <v>1145</v>
      </c>
    </row>
    <row r="406" spans="1:13" x14ac:dyDescent="0.35">
      <c r="A406" t="s">
        <v>1146</v>
      </c>
      <c r="B406" t="s">
        <v>1147</v>
      </c>
      <c r="C406" t="s">
        <v>40</v>
      </c>
      <c r="D406" t="s">
        <v>66</v>
      </c>
      <c r="E406" t="s">
        <v>17</v>
      </c>
      <c r="F406" t="s">
        <v>72</v>
      </c>
      <c r="G406" t="s">
        <v>78</v>
      </c>
      <c r="H406">
        <v>162104</v>
      </c>
      <c r="I406">
        <v>-122724.6</v>
      </c>
      <c r="J406" t="s">
        <v>29</v>
      </c>
      <c r="K406" t="s">
        <v>21</v>
      </c>
      <c r="L406">
        <v>2021</v>
      </c>
      <c r="M406" t="s">
        <v>216</v>
      </c>
    </row>
    <row r="407" spans="1:13" x14ac:dyDescent="0.35">
      <c r="A407" t="s">
        <v>1148</v>
      </c>
      <c r="B407" t="s">
        <v>1149</v>
      </c>
      <c r="C407" t="s">
        <v>40</v>
      </c>
      <c r="D407" t="s">
        <v>66</v>
      </c>
      <c r="E407" t="s">
        <v>34</v>
      </c>
      <c r="F407" t="s">
        <v>67</v>
      </c>
      <c r="G407" t="s">
        <v>78</v>
      </c>
      <c r="H407">
        <v>268365</v>
      </c>
      <c r="I407">
        <v>39094.19</v>
      </c>
      <c r="J407" t="s">
        <v>97</v>
      </c>
      <c r="K407" t="s">
        <v>48</v>
      </c>
      <c r="L407">
        <v>2022</v>
      </c>
      <c r="M407" t="s">
        <v>408</v>
      </c>
    </row>
    <row r="408" spans="1:13" x14ac:dyDescent="0.35">
      <c r="A408" t="s">
        <v>1150</v>
      </c>
      <c r="B408" t="s">
        <v>1151</v>
      </c>
      <c r="C408" t="s">
        <v>25</v>
      </c>
      <c r="D408" t="s">
        <v>26</v>
      </c>
      <c r="E408" t="s">
        <v>17</v>
      </c>
      <c r="F408" t="s">
        <v>18</v>
      </c>
      <c r="G408" t="s">
        <v>78</v>
      </c>
      <c r="H408">
        <v>110144</v>
      </c>
      <c r="I408">
        <v>-104912.21</v>
      </c>
      <c r="J408" t="s">
        <v>29</v>
      </c>
      <c r="K408" t="s">
        <v>48</v>
      </c>
      <c r="L408">
        <v>2024</v>
      </c>
      <c r="M408" t="s">
        <v>1152</v>
      </c>
    </row>
    <row r="409" spans="1:13" x14ac:dyDescent="0.35">
      <c r="A409" t="s">
        <v>1153</v>
      </c>
      <c r="B409" t="s">
        <v>1154</v>
      </c>
      <c r="C409" t="s">
        <v>40</v>
      </c>
      <c r="D409" t="s">
        <v>96</v>
      </c>
      <c r="E409" t="s">
        <v>17</v>
      </c>
      <c r="F409" t="s">
        <v>42</v>
      </c>
      <c r="G409" t="s">
        <v>68</v>
      </c>
      <c r="H409">
        <v>53236</v>
      </c>
      <c r="I409">
        <v>-49852.81</v>
      </c>
      <c r="J409" t="s">
        <v>59</v>
      </c>
      <c r="K409" t="s">
        <v>48</v>
      </c>
      <c r="L409">
        <v>2024</v>
      </c>
      <c r="M409" t="s">
        <v>1155</v>
      </c>
    </row>
    <row r="410" spans="1:13" x14ac:dyDescent="0.35">
      <c r="A410" t="s">
        <v>1156</v>
      </c>
      <c r="B410" t="s">
        <v>868</v>
      </c>
      <c r="C410" t="s">
        <v>15</v>
      </c>
      <c r="D410" t="s">
        <v>46</v>
      </c>
      <c r="E410" t="s">
        <v>34</v>
      </c>
      <c r="F410" t="s">
        <v>35</v>
      </c>
      <c r="G410" t="s">
        <v>19</v>
      </c>
      <c r="H410">
        <v>167168</v>
      </c>
      <c r="I410">
        <v>16185.03</v>
      </c>
      <c r="J410" t="s">
        <v>47</v>
      </c>
      <c r="K410" t="s">
        <v>21</v>
      </c>
      <c r="L410">
        <v>2023</v>
      </c>
      <c r="M410" t="s">
        <v>1157</v>
      </c>
    </row>
    <row r="411" spans="1:13" x14ac:dyDescent="0.35">
      <c r="A411" t="s">
        <v>1158</v>
      </c>
      <c r="B411" t="s">
        <v>1159</v>
      </c>
      <c r="C411" t="s">
        <v>25</v>
      </c>
      <c r="D411" t="s">
        <v>83</v>
      </c>
      <c r="E411" t="s">
        <v>34</v>
      </c>
      <c r="F411" t="s">
        <v>67</v>
      </c>
      <c r="G411" t="s">
        <v>19</v>
      </c>
      <c r="H411">
        <v>61407</v>
      </c>
      <c r="I411">
        <v>4285.09</v>
      </c>
      <c r="J411" t="s">
        <v>212</v>
      </c>
      <c r="K411" t="s">
        <v>30</v>
      </c>
      <c r="L411">
        <v>2022</v>
      </c>
      <c r="M411" t="s">
        <v>1160</v>
      </c>
    </row>
    <row r="412" spans="1:13" x14ac:dyDescent="0.35">
      <c r="A412" t="s">
        <v>1161</v>
      </c>
      <c r="B412" t="s">
        <v>1162</v>
      </c>
      <c r="C412" t="s">
        <v>15</v>
      </c>
      <c r="D412" t="s">
        <v>46</v>
      </c>
      <c r="E412" t="s">
        <v>17</v>
      </c>
      <c r="F412" t="s">
        <v>42</v>
      </c>
      <c r="G412" t="s">
        <v>19</v>
      </c>
      <c r="H412">
        <v>31059</v>
      </c>
      <c r="I412">
        <v>-30005.01</v>
      </c>
      <c r="J412" t="s">
        <v>59</v>
      </c>
      <c r="K412" t="s">
        <v>21</v>
      </c>
      <c r="L412">
        <v>2021</v>
      </c>
      <c r="M412" t="s">
        <v>505</v>
      </c>
    </row>
    <row r="413" spans="1:13" x14ac:dyDescent="0.35">
      <c r="A413" t="s">
        <v>1163</v>
      </c>
      <c r="B413" t="s">
        <v>1164</v>
      </c>
      <c r="C413" t="s">
        <v>40</v>
      </c>
      <c r="D413" t="s">
        <v>41</v>
      </c>
      <c r="E413" t="s">
        <v>17</v>
      </c>
      <c r="F413" t="s">
        <v>18</v>
      </c>
      <c r="G413" t="s">
        <v>78</v>
      </c>
      <c r="H413">
        <v>50423</v>
      </c>
      <c r="I413">
        <v>-45502.3</v>
      </c>
      <c r="J413" t="s">
        <v>47</v>
      </c>
      <c r="K413" t="s">
        <v>53</v>
      </c>
      <c r="L413">
        <v>2022</v>
      </c>
      <c r="M413" t="s">
        <v>1165</v>
      </c>
    </row>
    <row r="414" spans="1:13" x14ac:dyDescent="0.35">
      <c r="A414" t="s">
        <v>1166</v>
      </c>
      <c r="B414" t="s">
        <v>1167</v>
      </c>
      <c r="C414" t="s">
        <v>15</v>
      </c>
      <c r="D414" t="s">
        <v>16</v>
      </c>
      <c r="E414" t="s">
        <v>27</v>
      </c>
      <c r="F414" t="s">
        <v>28</v>
      </c>
      <c r="G414" t="s">
        <v>19</v>
      </c>
      <c r="H414">
        <v>213127</v>
      </c>
      <c r="I414">
        <v>15426.8</v>
      </c>
      <c r="J414" t="s">
        <v>97</v>
      </c>
      <c r="K414" t="s">
        <v>48</v>
      </c>
      <c r="L414">
        <v>2023</v>
      </c>
      <c r="M414" t="s">
        <v>1168</v>
      </c>
    </row>
    <row r="415" spans="1:13" x14ac:dyDescent="0.35">
      <c r="A415" t="s">
        <v>1169</v>
      </c>
      <c r="B415" t="s">
        <v>1170</v>
      </c>
      <c r="C415" t="s">
        <v>40</v>
      </c>
      <c r="D415" t="s">
        <v>66</v>
      </c>
      <c r="E415" t="s">
        <v>17</v>
      </c>
      <c r="F415" t="s">
        <v>42</v>
      </c>
      <c r="G415" t="s">
        <v>68</v>
      </c>
      <c r="H415">
        <v>124124</v>
      </c>
      <c r="I415">
        <v>-109197.79</v>
      </c>
      <c r="J415" t="s">
        <v>212</v>
      </c>
      <c r="K415" t="s">
        <v>21</v>
      </c>
      <c r="L415">
        <v>2025</v>
      </c>
      <c r="M415" t="s">
        <v>1171</v>
      </c>
    </row>
    <row r="416" spans="1:13" x14ac:dyDescent="0.35">
      <c r="A416" t="s">
        <v>1172</v>
      </c>
      <c r="B416" t="s">
        <v>1173</v>
      </c>
      <c r="C416" t="s">
        <v>40</v>
      </c>
      <c r="D416" t="s">
        <v>66</v>
      </c>
      <c r="E416" t="s">
        <v>17</v>
      </c>
      <c r="F416" t="s">
        <v>72</v>
      </c>
      <c r="G416" t="s">
        <v>36</v>
      </c>
      <c r="H416">
        <v>31193</v>
      </c>
      <c r="I416">
        <v>-25452.65</v>
      </c>
      <c r="J416" t="s">
        <v>47</v>
      </c>
      <c r="K416" t="s">
        <v>53</v>
      </c>
      <c r="L416">
        <v>2022</v>
      </c>
      <c r="M416" t="s">
        <v>1174</v>
      </c>
    </row>
    <row r="417" spans="1:13" x14ac:dyDescent="0.35">
      <c r="A417" t="s">
        <v>1175</v>
      </c>
      <c r="B417" t="s">
        <v>1176</v>
      </c>
      <c r="C417" t="s">
        <v>15</v>
      </c>
      <c r="D417" t="s">
        <v>46</v>
      </c>
      <c r="E417" t="s">
        <v>17</v>
      </c>
      <c r="F417" t="s">
        <v>18</v>
      </c>
      <c r="G417" t="s">
        <v>19</v>
      </c>
      <c r="H417">
        <v>51739</v>
      </c>
      <c r="I417">
        <v>-45780.5</v>
      </c>
      <c r="J417" t="s">
        <v>79</v>
      </c>
      <c r="K417" t="s">
        <v>21</v>
      </c>
      <c r="L417">
        <v>2024</v>
      </c>
      <c r="M417" t="s">
        <v>1177</v>
      </c>
    </row>
    <row r="418" spans="1:13" x14ac:dyDescent="0.35">
      <c r="A418" t="s">
        <v>1178</v>
      </c>
      <c r="B418" t="s">
        <v>1179</v>
      </c>
      <c r="C418" t="s">
        <v>40</v>
      </c>
      <c r="D418" t="s">
        <v>96</v>
      </c>
      <c r="E418" t="s">
        <v>17</v>
      </c>
      <c r="F418" t="s">
        <v>72</v>
      </c>
      <c r="G418" t="s">
        <v>19</v>
      </c>
      <c r="H418">
        <v>169448</v>
      </c>
      <c r="I418">
        <v>-167958.76</v>
      </c>
      <c r="J418" t="s">
        <v>113</v>
      </c>
      <c r="K418" t="s">
        <v>30</v>
      </c>
      <c r="L418">
        <v>2022</v>
      </c>
      <c r="M418" t="s">
        <v>1180</v>
      </c>
    </row>
    <row r="419" spans="1:13" x14ac:dyDescent="0.35">
      <c r="A419" t="s">
        <v>1181</v>
      </c>
      <c r="B419" t="s">
        <v>987</v>
      </c>
      <c r="C419" t="s">
        <v>15</v>
      </c>
      <c r="D419" t="s">
        <v>16</v>
      </c>
      <c r="E419" t="s">
        <v>34</v>
      </c>
      <c r="F419" t="s">
        <v>35</v>
      </c>
      <c r="G419" t="s">
        <v>78</v>
      </c>
      <c r="H419">
        <v>262449</v>
      </c>
      <c r="I419">
        <v>60137.56</v>
      </c>
      <c r="J419" t="s">
        <v>29</v>
      </c>
      <c r="K419" t="s">
        <v>48</v>
      </c>
      <c r="L419">
        <v>2025</v>
      </c>
      <c r="M419" t="s">
        <v>1182</v>
      </c>
    </row>
    <row r="420" spans="1:13" x14ac:dyDescent="0.35">
      <c r="A420" t="s">
        <v>1183</v>
      </c>
      <c r="B420" t="s">
        <v>1184</v>
      </c>
      <c r="C420" t="s">
        <v>15</v>
      </c>
      <c r="D420" t="s">
        <v>46</v>
      </c>
      <c r="E420" t="s">
        <v>17</v>
      </c>
      <c r="F420" t="s">
        <v>42</v>
      </c>
      <c r="G420" t="s">
        <v>68</v>
      </c>
      <c r="H420">
        <v>154781</v>
      </c>
      <c r="I420">
        <v>-140024.79</v>
      </c>
      <c r="J420" t="s">
        <v>20</v>
      </c>
      <c r="K420" t="s">
        <v>48</v>
      </c>
      <c r="L420">
        <v>2022</v>
      </c>
      <c r="M420" t="s">
        <v>1185</v>
      </c>
    </row>
    <row r="421" spans="1:13" x14ac:dyDescent="0.35">
      <c r="A421" t="s">
        <v>1186</v>
      </c>
      <c r="B421" t="s">
        <v>1187</v>
      </c>
      <c r="C421" t="s">
        <v>15</v>
      </c>
      <c r="D421" t="s">
        <v>57</v>
      </c>
      <c r="E421" t="s">
        <v>34</v>
      </c>
      <c r="F421" t="s">
        <v>67</v>
      </c>
      <c r="G421" t="s">
        <v>78</v>
      </c>
      <c r="H421">
        <v>173537</v>
      </c>
      <c r="I421">
        <v>31338.26</v>
      </c>
      <c r="J421" t="s">
        <v>113</v>
      </c>
      <c r="K421" t="s">
        <v>48</v>
      </c>
      <c r="L421">
        <v>2023</v>
      </c>
      <c r="M421" t="s">
        <v>1188</v>
      </c>
    </row>
    <row r="422" spans="1:13" x14ac:dyDescent="0.35">
      <c r="A422" t="s">
        <v>1189</v>
      </c>
      <c r="B422" t="s">
        <v>1190</v>
      </c>
      <c r="C422" t="s">
        <v>76</v>
      </c>
      <c r="D422" t="s">
        <v>105</v>
      </c>
      <c r="E422" t="s">
        <v>34</v>
      </c>
      <c r="F422" t="s">
        <v>67</v>
      </c>
      <c r="G422" t="s">
        <v>36</v>
      </c>
      <c r="H422">
        <v>209563</v>
      </c>
      <c r="I422">
        <v>23809.82</v>
      </c>
      <c r="J422" t="s">
        <v>113</v>
      </c>
      <c r="K422" t="s">
        <v>53</v>
      </c>
      <c r="L422">
        <v>2024</v>
      </c>
      <c r="M422" t="s">
        <v>1191</v>
      </c>
    </row>
    <row r="423" spans="1:13" x14ac:dyDescent="0.35">
      <c r="A423" t="s">
        <v>1192</v>
      </c>
      <c r="B423" t="s">
        <v>1193</v>
      </c>
      <c r="C423" t="s">
        <v>15</v>
      </c>
      <c r="D423" t="s">
        <v>16</v>
      </c>
      <c r="E423" t="s">
        <v>34</v>
      </c>
      <c r="F423" t="s">
        <v>58</v>
      </c>
      <c r="G423" t="s">
        <v>19</v>
      </c>
      <c r="H423">
        <v>184019</v>
      </c>
      <c r="I423">
        <v>23713.25</v>
      </c>
      <c r="J423" t="s">
        <v>97</v>
      </c>
      <c r="K423" t="s">
        <v>48</v>
      </c>
      <c r="L423">
        <v>2024</v>
      </c>
      <c r="M423" t="s">
        <v>642</v>
      </c>
    </row>
    <row r="424" spans="1:13" x14ac:dyDescent="0.35">
      <c r="A424" t="s">
        <v>1194</v>
      </c>
      <c r="B424" t="s">
        <v>1195</v>
      </c>
      <c r="C424" t="s">
        <v>25</v>
      </c>
      <c r="D424" t="s">
        <v>83</v>
      </c>
      <c r="E424" t="s">
        <v>34</v>
      </c>
      <c r="F424" t="s">
        <v>58</v>
      </c>
      <c r="G424" t="s">
        <v>19</v>
      </c>
      <c r="H424">
        <v>193111</v>
      </c>
      <c r="I424">
        <v>41715.57</v>
      </c>
      <c r="J424" t="s">
        <v>113</v>
      </c>
      <c r="K424" t="s">
        <v>30</v>
      </c>
      <c r="L424">
        <v>2024</v>
      </c>
      <c r="M424" t="s">
        <v>431</v>
      </c>
    </row>
    <row r="425" spans="1:13" x14ac:dyDescent="0.35">
      <c r="A425" t="s">
        <v>1196</v>
      </c>
      <c r="B425" t="s">
        <v>92</v>
      </c>
      <c r="C425" t="s">
        <v>25</v>
      </c>
      <c r="D425" t="s">
        <v>149</v>
      </c>
      <c r="E425" t="s">
        <v>34</v>
      </c>
      <c r="F425" t="s">
        <v>67</v>
      </c>
      <c r="G425" t="s">
        <v>78</v>
      </c>
      <c r="H425">
        <v>278145</v>
      </c>
      <c r="I425">
        <v>45468.06</v>
      </c>
      <c r="J425" t="s">
        <v>113</v>
      </c>
      <c r="K425" t="s">
        <v>48</v>
      </c>
      <c r="L425">
        <v>2022</v>
      </c>
      <c r="M425" t="s">
        <v>852</v>
      </c>
    </row>
    <row r="426" spans="1:13" x14ac:dyDescent="0.35">
      <c r="A426" t="s">
        <v>1197</v>
      </c>
      <c r="B426" t="s">
        <v>1198</v>
      </c>
      <c r="C426" t="s">
        <v>15</v>
      </c>
      <c r="D426" t="s">
        <v>57</v>
      </c>
      <c r="E426" t="s">
        <v>138</v>
      </c>
      <c r="F426" t="s">
        <v>208</v>
      </c>
      <c r="G426" t="s">
        <v>36</v>
      </c>
      <c r="H426">
        <v>452336</v>
      </c>
      <c r="I426">
        <v>-56359.11</v>
      </c>
      <c r="J426" t="s">
        <v>113</v>
      </c>
      <c r="K426" t="s">
        <v>48</v>
      </c>
      <c r="L426">
        <v>2022</v>
      </c>
      <c r="M426" t="s">
        <v>335</v>
      </c>
    </row>
    <row r="427" spans="1:13" x14ac:dyDescent="0.35">
      <c r="A427" t="s">
        <v>1199</v>
      </c>
      <c r="B427" t="s">
        <v>1200</v>
      </c>
      <c r="C427" t="s">
        <v>25</v>
      </c>
      <c r="D427" t="s">
        <v>26</v>
      </c>
      <c r="E427" t="s">
        <v>17</v>
      </c>
      <c r="F427" t="s">
        <v>72</v>
      </c>
      <c r="G427" t="s">
        <v>36</v>
      </c>
      <c r="H427">
        <v>126918</v>
      </c>
      <c r="I427">
        <v>-105695.72</v>
      </c>
      <c r="J427" t="s">
        <v>47</v>
      </c>
      <c r="K427" t="s">
        <v>48</v>
      </c>
      <c r="L427">
        <v>2024</v>
      </c>
      <c r="M427" t="s">
        <v>1201</v>
      </c>
    </row>
    <row r="428" spans="1:13" x14ac:dyDescent="0.35">
      <c r="A428" t="s">
        <v>1202</v>
      </c>
      <c r="B428" t="s">
        <v>1203</v>
      </c>
      <c r="C428" t="s">
        <v>76</v>
      </c>
      <c r="D428" t="s">
        <v>171</v>
      </c>
      <c r="E428" t="s">
        <v>34</v>
      </c>
      <c r="F428" t="s">
        <v>35</v>
      </c>
      <c r="G428" t="s">
        <v>78</v>
      </c>
      <c r="H428">
        <v>183933</v>
      </c>
      <c r="I428">
        <v>37040.6</v>
      </c>
      <c r="J428" t="s">
        <v>212</v>
      </c>
      <c r="K428" t="s">
        <v>30</v>
      </c>
      <c r="L428">
        <v>2024</v>
      </c>
      <c r="M428" t="s">
        <v>376</v>
      </c>
    </row>
    <row r="429" spans="1:13" x14ac:dyDescent="0.35">
      <c r="A429" t="s">
        <v>1204</v>
      </c>
      <c r="B429" t="s">
        <v>1205</v>
      </c>
      <c r="C429" t="s">
        <v>25</v>
      </c>
      <c r="D429" t="s">
        <v>149</v>
      </c>
      <c r="E429" t="s">
        <v>34</v>
      </c>
      <c r="F429" t="s">
        <v>35</v>
      </c>
      <c r="G429" t="s">
        <v>36</v>
      </c>
      <c r="H429">
        <v>239460</v>
      </c>
      <c r="I429">
        <v>33108.620000000003</v>
      </c>
      <c r="J429" t="s">
        <v>59</v>
      </c>
      <c r="K429" t="s">
        <v>21</v>
      </c>
      <c r="L429">
        <v>2022</v>
      </c>
      <c r="M429" t="s">
        <v>1206</v>
      </c>
    </row>
    <row r="430" spans="1:13" x14ac:dyDescent="0.35">
      <c r="A430" t="s">
        <v>1207</v>
      </c>
      <c r="B430" t="s">
        <v>1094</v>
      </c>
      <c r="C430" t="s">
        <v>40</v>
      </c>
      <c r="D430" t="s">
        <v>66</v>
      </c>
      <c r="E430" t="s">
        <v>34</v>
      </c>
      <c r="F430" t="s">
        <v>67</v>
      </c>
      <c r="G430" t="s">
        <v>19</v>
      </c>
      <c r="H430">
        <v>251223</v>
      </c>
      <c r="I430">
        <v>62388.94</v>
      </c>
      <c r="J430" t="s">
        <v>59</v>
      </c>
      <c r="K430" t="s">
        <v>53</v>
      </c>
      <c r="L430">
        <v>2022</v>
      </c>
      <c r="M430" t="s">
        <v>1208</v>
      </c>
    </row>
    <row r="431" spans="1:13" x14ac:dyDescent="0.35">
      <c r="A431" t="s">
        <v>1209</v>
      </c>
      <c r="B431" t="s">
        <v>1210</v>
      </c>
      <c r="C431" t="s">
        <v>15</v>
      </c>
      <c r="D431" t="s">
        <v>46</v>
      </c>
      <c r="E431" t="s">
        <v>17</v>
      </c>
      <c r="F431" t="s">
        <v>42</v>
      </c>
      <c r="G431" t="s">
        <v>19</v>
      </c>
      <c r="H431">
        <v>66085</v>
      </c>
      <c r="I431">
        <v>-64576.33</v>
      </c>
      <c r="J431" t="s">
        <v>29</v>
      </c>
      <c r="K431" t="s">
        <v>53</v>
      </c>
      <c r="L431">
        <v>2023</v>
      </c>
      <c r="M431" t="s">
        <v>1211</v>
      </c>
    </row>
    <row r="432" spans="1:13" x14ac:dyDescent="0.35">
      <c r="A432" t="s">
        <v>1212</v>
      </c>
      <c r="B432" t="s">
        <v>413</v>
      </c>
      <c r="C432" t="s">
        <v>40</v>
      </c>
      <c r="D432" t="s">
        <v>96</v>
      </c>
      <c r="E432" t="s">
        <v>17</v>
      </c>
      <c r="F432" t="s">
        <v>52</v>
      </c>
      <c r="G432" t="s">
        <v>68</v>
      </c>
      <c r="H432">
        <v>56299</v>
      </c>
      <c r="I432">
        <v>-47609.440000000002</v>
      </c>
      <c r="J432" t="s">
        <v>20</v>
      </c>
      <c r="K432" t="s">
        <v>53</v>
      </c>
      <c r="L432">
        <v>2021</v>
      </c>
      <c r="M432" t="s">
        <v>1213</v>
      </c>
    </row>
    <row r="433" spans="1:13" x14ac:dyDescent="0.35">
      <c r="A433" t="s">
        <v>1214</v>
      </c>
      <c r="B433" t="s">
        <v>1064</v>
      </c>
      <c r="C433" t="s">
        <v>40</v>
      </c>
      <c r="D433" t="s">
        <v>66</v>
      </c>
      <c r="E433" t="s">
        <v>17</v>
      </c>
      <c r="F433" t="s">
        <v>72</v>
      </c>
      <c r="G433" t="s">
        <v>68</v>
      </c>
      <c r="H433">
        <v>152034</v>
      </c>
      <c r="I433">
        <v>-114007.67</v>
      </c>
      <c r="J433" t="s">
        <v>47</v>
      </c>
      <c r="K433" t="s">
        <v>53</v>
      </c>
      <c r="L433">
        <v>2025</v>
      </c>
      <c r="M433" t="s">
        <v>1215</v>
      </c>
    </row>
    <row r="434" spans="1:13" x14ac:dyDescent="0.35">
      <c r="A434" t="s">
        <v>1216</v>
      </c>
      <c r="B434" t="s">
        <v>728</v>
      </c>
      <c r="C434" t="s">
        <v>15</v>
      </c>
      <c r="D434" t="s">
        <v>16</v>
      </c>
      <c r="E434" t="s">
        <v>17</v>
      </c>
      <c r="F434" t="s">
        <v>52</v>
      </c>
      <c r="G434" t="s">
        <v>68</v>
      </c>
      <c r="H434">
        <v>28952</v>
      </c>
      <c r="I434">
        <v>-26016.55</v>
      </c>
      <c r="J434" t="s">
        <v>212</v>
      </c>
      <c r="K434" t="s">
        <v>48</v>
      </c>
      <c r="L434">
        <v>2022</v>
      </c>
      <c r="M434" t="s">
        <v>1123</v>
      </c>
    </row>
    <row r="435" spans="1:13" x14ac:dyDescent="0.35">
      <c r="A435" t="s">
        <v>1217</v>
      </c>
      <c r="B435" t="s">
        <v>1218</v>
      </c>
      <c r="C435" t="s">
        <v>15</v>
      </c>
      <c r="D435" t="s">
        <v>16</v>
      </c>
      <c r="E435" t="s">
        <v>34</v>
      </c>
      <c r="F435" t="s">
        <v>58</v>
      </c>
      <c r="G435" t="s">
        <v>78</v>
      </c>
      <c r="H435">
        <v>39787</v>
      </c>
      <c r="I435">
        <v>2991.69</v>
      </c>
      <c r="J435" t="s">
        <v>59</v>
      </c>
      <c r="K435" t="s">
        <v>21</v>
      </c>
      <c r="L435">
        <v>2024</v>
      </c>
      <c r="M435" t="s">
        <v>140</v>
      </c>
    </row>
    <row r="436" spans="1:13" x14ac:dyDescent="0.35">
      <c r="A436" t="s">
        <v>1219</v>
      </c>
      <c r="B436" t="s">
        <v>1220</v>
      </c>
      <c r="C436" t="s">
        <v>40</v>
      </c>
      <c r="D436" t="s">
        <v>96</v>
      </c>
      <c r="E436" t="s">
        <v>34</v>
      </c>
      <c r="F436" t="s">
        <v>101</v>
      </c>
      <c r="G436" t="s">
        <v>68</v>
      </c>
      <c r="H436">
        <v>294771</v>
      </c>
      <c r="I436">
        <v>69407.66</v>
      </c>
      <c r="J436" t="s">
        <v>20</v>
      </c>
      <c r="K436" t="s">
        <v>30</v>
      </c>
      <c r="L436">
        <v>2025</v>
      </c>
      <c r="M436" t="s">
        <v>405</v>
      </c>
    </row>
    <row r="437" spans="1:13" x14ac:dyDescent="0.35">
      <c r="A437" t="s">
        <v>1221</v>
      </c>
      <c r="B437" t="s">
        <v>1222</v>
      </c>
      <c r="C437" t="s">
        <v>76</v>
      </c>
      <c r="D437" t="s">
        <v>105</v>
      </c>
      <c r="E437" t="s">
        <v>27</v>
      </c>
      <c r="F437" t="s">
        <v>219</v>
      </c>
      <c r="G437" t="s">
        <v>36</v>
      </c>
      <c r="H437">
        <v>619818</v>
      </c>
      <c r="I437">
        <v>-20633.04</v>
      </c>
      <c r="J437" t="s">
        <v>59</v>
      </c>
      <c r="K437" t="s">
        <v>53</v>
      </c>
      <c r="L437">
        <v>2021</v>
      </c>
      <c r="M437" t="s">
        <v>1171</v>
      </c>
    </row>
    <row r="438" spans="1:13" x14ac:dyDescent="0.35">
      <c r="A438" t="s">
        <v>1223</v>
      </c>
      <c r="B438" t="s">
        <v>1224</v>
      </c>
      <c r="C438" t="s">
        <v>15</v>
      </c>
      <c r="D438" t="s">
        <v>57</v>
      </c>
      <c r="E438" t="s">
        <v>17</v>
      </c>
      <c r="F438" t="s">
        <v>112</v>
      </c>
      <c r="G438" t="s">
        <v>36</v>
      </c>
      <c r="H438">
        <v>12839</v>
      </c>
      <c r="I438">
        <v>-9122.86</v>
      </c>
      <c r="J438" t="s">
        <v>59</v>
      </c>
      <c r="K438" t="s">
        <v>21</v>
      </c>
      <c r="L438">
        <v>2021</v>
      </c>
      <c r="M438" t="s">
        <v>964</v>
      </c>
    </row>
    <row r="439" spans="1:13" x14ac:dyDescent="0.35">
      <c r="A439" t="s">
        <v>1225</v>
      </c>
      <c r="B439" t="s">
        <v>325</v>
      </c>
      <c r="C439" t="s">
        <v>76</v>
      </c>
      <c r="D439" t="s">
        <v>105</v>
      </c>
      <c r="E439" t="s">
        <v>34</v>
      </c>
      <c r="F439" t="s">
        <v>35</v>
      </c>
      <c r="G439" t="s">
        <v>19</v>
      </c>
      <c r="H439">
        <v>110243</v>
      </c>
      <c r="I439">
        <v>9848.9599999999991</v>
      </c>
      <c r="J439" t="s">
        <v>29</v>
      </c>
      <c r="K439" t="s">
        <v>30</v>
      </c>
      <c r="L439">
        <v>2023</v>
      </c>
      <c r="M439" t="s">
        <v>980</v>
      </c>
    </row>
    <row r="440" spans="1:13" x14ac:dyDescent="0.35">
      <c r="A440" t="s">
        <v>1226</v>
      </c>
      <c r="B440" t="s">
        <v>290</v>
      </c>
      <c r="C440" t="s">
        <v>15</v>
      </c>
      <c r="D440" t="s">
        <v>46</v>
      </c>
      <c r="E440" t="s">
        <v>34</v>
      </c>
      <c r="F440" t="s">
        <v>101</v>
      </c>
      <c r="G440" t="s">
        <v>78</v>
      </c>
      <c r="H440">
        <v>169763</v>
      </c>
      <c r="I440">
        <v>12561.23</v>
      </c>
      <c r="J440" t="s">
        <v>29</v>
      </c>
      <c r="K440" t="s">
        <v>30</v>
      </c>
      <c r="L440">
        <v>2025</v>
      </c>
      <c r="M440" t="s">
        <v>1227</v>
      </c>
    </row>
    <row r="441" spans="1:13" x14ac:dyDescent="0.35">
      <c r="A441" t="s">
        <v>1228</v>
      </c>
      <c r="B441" t="s">
        <v>1061</v>
      </c>
      <c r="C441" t="s">
        <v>40</v>
      </c>
      <c r="D441" t="s">
        <v>41</v>
      </c>
      <c r="E441" t="s">
        <v>17</v>
      </c>
      <c r="F441" t="s">
        <v>18</v>
      </c>
      <c r="G441" t="s">
        <v>19</v>
      </c>
      <c r="H441">
        <v>79899</v>
      </c>
      <c r="I441">
        <v>-63178.06</v>
      </c>
      <c r="J441" t="s">
        <v>212</v>
      </c>
      <c r="K441" t="s">
        <v>53</v>
      </c>
      <c r="L441">
        <v>2022</v>
      </c>
      <c r="M441" t="s">
        <v>1229</v>
      </c>
    </row>
    <row r="442" spans="1:13" x14ac:dyDescent="0.35">
      <c r="A442" t="s">
        <v>1230</v>
      </c>
      <c r="B442" t="s">
        <v>519</v>
      </c>
      <c r="C442" t="s">
        <v>25</v>
      </c>
      <c r="D442" t="s">
        <v>26</v>
      </c>
      <c r="E442" t="s">
        <v>138</v>
      </c>
      <c r="F442" t="s">
        <v>208</v>
      </c>
      <c r="G442" t="s">
        <v>68</v>
      </c>
      <c r="H442">
        <v>57312</v>
      </c>
      <c r="I442">
        <v>-9217.07</v>
      </c>
      <c r="J442" t="s">
        <v>79</v>
      </c>
      <c r="K442" t="s">
        <v>53</v>
      </c>
      <c r="L442">
        <v>2022</v>
      </c>
      <c r="M442" t="s">
        <v>1231</v>
      </c>
    </row>
    <row r="443" spans="1:13" x14ac:dyDescent="0.35">
      <c r="A443" t="s">
        <v>1232</v>
      </c>
      <c r="B443" t="s">
        <v>1233</v>
      </c>
      <c r="C443" t="s">
        <v>40</v>
      </c>
      <c r="D443" t="s">
        <v>41</v>
      </c>
      <c r="E443" t="s">
        <v>27</v>
      </c>
      <c r="F443" t="s">
        <v>219</v>
      </c>
      <c r="G443" t="s">
        <v>36</v>
      </c>
      <c r="H443">
        <v>617743</v>
      </c>
      <c r="I443">
        <v>-25402.74</v>
      </c>
      <c r="J443" t="s">
        <v>113</v>
      </c>
      <c r="K443" t="s">
        <v>48</v>
      </c>
      <c r="L443">
        <v>2022</v>
      </c>
      <c r="M443" t="s">
        <v>710</v>
      </c>
    </row>
    <row r="444" spans="1:13" x14ac:dyDescent="0.35">
      <c r="A444" t="s">
        <v>1234</v>
      </c>
      <c r="B444" t="s">
        <v>1235</v>
      </c>
      <c r="C444" t="s">
        <v>40</v>
      </c>
      <c r="D444" t="s">
        <v>41</v>
      </c>
      <c r="E444" t="s">
        <v>34</v>
      </c>
      <c r="F444" t="s">
        <v>101</v>
      </c>
      <c r="G444" t="s">
        <v>68</v>
      </c>
      <c r="H444">
        <v>159282</v>
      </c>
      <c r="I444">
        <v>35055.33</v>
      </c>
      <c r="J444" t="s">
        <v>47</v>
      </c>
      <c r="K444" t="s">
        <v>30</v>
      </c>
      <c r="L444">
        <v>2024</v>
      </c>
      <c r="M444" t="s">
        <v>1236</v>
      </c>
    </row>
    <row r="445" spans="1:13" x14ac:dyDescent="0.35">
      <c r="A445" t="s">
        <v>1237</v>
      </c>
      <c r="B445" t="s">
        <v>1238</v>
      </c>
      <c r="C445" t="s">
        <v>25</v>
      </c>
      <c r="D445" t="s">
        <v>83</v>
      </c>
      <c r="E445" t="s">
        <v>138</v>
      </c>
      <c r="F445" t="s">
        <v>208</v>
      </c>
      <c r="G445" t="s">
        <v>78</v>
      </c>
      <c r="H445">
        <v>451863</v>
      </c>
      <c r="I445">
        <v>-64643.64</v>
      </c>
      <c r="J445" t="s">
        <v>29</v>
      </c>
      <c r="K445" t="s">
        <v>48</v>
      </c>
      <c r="L445">
        <v>2024</v>
      </c>
      <c r="M445" t="s">
        <v>1239</v>
      </c>
    </row>
    <row r="446" spans="1:13" x14ac:dyDescent="0.35">
      <c r="A446" t="s">
        <v>1240</v>
      </c>
      <c r="B446" t="s">
        <v>1241</v>
      </c>
      <c r="C446" t="s">
        <v>40</v>
      </c>
      <c r="D446" t="s">
        <v>66</v>
      </c>
      <c r="E446" t="s">
        <v>34</v>
      </c>
      <c r="F446" t="s">
        <v>101</v>
      </c>
      <c r="G446" t="s">
        <v>36</v>
      </c>
      <c r="H446">
        <v>159610</v>
      </c>
      <c r="I446">
        <v>28065.73</v>
      </c>
      <c r="J446" t="s">
        <v>59</v>
      </c>
      <c r="K446" t="s">
        <v>21</v>
      </c>
      <c r="L446">
        <v>2022</v>
      </c>
      <c r="M446" t="s">
        <v>1242</v>
      </c>
    </row>
    <row r="447" spans="1:13" x14ac:dyDescent="0.35">
      <c r="A447" t="s">
        <v>1243</v>
      </c>
      <c r="B447" t="s">
        <v>1005</v>
      </c>
      <c r="C447" t="s">
        <v>76</v>
      </c>
      <c r="D447" t="s">
        <v>105</v>
      </c>
      <c r="E447" t="s">
        <v>27</v>
      </c>
      <c r="F447" t="s">
        <v>28</v>
      </c>
      <c r="G447" t="s">
        <v>19</v>
      </c>
      <c r="H447">
        <v>914085</v>
      </c>
      <c r="I447">
        <v>93983.98</v>
      </c>
      <c r="J447" t="s">
        <v>113</v>
      </c>
      <c r="K447" t="s">
        <v>53</v>
      </c>
      <c r="L447">
        <v>2024</v>
      </c>
      <c r="M447" t="s">
        <v>742</v>
      </c>
    </row>
    <row r="448" spans="1:13" x14ac:dyDescent="0.35">
      <c r="A448" t="s">
        <v>1244</v>
      </c>
      <c r="B448" t="s">
        <v>1245</v>
      </c>
      <c r="C448" t="s">
        <v>15</v>
      </c>
      <c r="D448" t="s">
        <v>46</v>
      </c>
      <c r="E448" t="s">
        <v>34</v>
      </c>
      <c r="F448" t="s">
        <v>58</v>
      </c>
      <c r="G448" t="s">
        <v>68</v>
      </c>
      <c r="H448">
        <v>295313</v>
      </c>
      <c r="I448">
        <v>33997.269999999997</v>
      </c>
      <c r="J448" t="s">
        <v>29</v>
      </c>
      <c r="K448" t="s">
        <v>21</v>
      </c>
      <c r="L448">
        <v>2021</v>
      </c>
      <c r="M448" t="s">
        <v>1246</v>
      </c>
    </row>
    <row r="449" spans="1:13" x14ac:dyDescent="0.35">
      <c r="A449" t="s">
        <v>1247</v>
      </c>
      <c r="B449" t="s">
        <v>1089</v>
      </c>
      <c r="C449" t="s">
        <v>76</v>
      </c>
      <c r="D449" t="s">
        <v>105</v>
      </c>
      <c r="E449" t="s">
        <v>34</v>
      </c>
      <c r="F449" t="s">
        <v>67</v>
      </c>
      <c r="G449" t="s">
        <v>19</v>
      </c>
      <c r="H449">
        <v>34751</v>
      </c>
      <c r="I449">
        <v>4162.49</v>
      </c>
      <c r="J449" t="s">
        <v>113</v>
      </c>
      <c r="K449" t="s">
        <v>30</v>
      </c>
      <c r="L449">
        <v>2024</v>
      </c>
      <c r="M449" t="s">
        <v>1248</v>
      </c>
    </row>
    <row r="450" spans="1:13" x14ac:dyDescent="0.35">
      <c r="A450" t="s">
        <v>1249</v>
      </c>
      <c r="B450" t="s">
        <v>1250</v>
      </c>
      <c r="C450" t="s">
        <v>15</v>
      </c>
      <c r="D450" t="s">
        <v>16</v>
      </c>
      <c r="E450" t="s">
        <v>17</v>
      </c>
      <c r="F450" t="s">
        <v>52</v>
      </c>
      <c r="G450" t="s">
        <v>19</v>
      </c>
      <c r="H450">
        <v>40899</v>
      </c>
      <c r="I450">
        <v>-34575.300000000003</v>
      </c>
      <c r="J450" t="s">
        <v>20</v>
      </c>
      <c r="K450" t="s">
        <v>21</v>
      </c>
      <c r="L450">
        <v>2021</v>
      </c>
      <c r="M450" t="s">
        <v>1251</v>
      </c>
    </row>
    <row r="451" spans="1:13" x14ac:dyDescent="0.35">
      <c r="A451" t="s">
        <v>1252</v>
      </c>
      <c r="B451" t="s">
        <v>1253</v>
      </c>
      <c r="C451" t="s">
        <v>25</v>
      </c>
      <c r="D451" t="s">
        <v>149</v>
      </c>
      <c r="E451" t="s">
        <v>34</v>
      </c>
      <c r="F451" t="s">
        <v>67</v>
      </c>
      <c r="G451" t="s">
        <v>36</v>
      </c>
      <c r="H451">
        <v>50072</v>
      </c>
      <c r="I451">
        <v>5039.05</v>
      </c>
      <c r="J451" t="s">
        <v>97</v>
      </c>
      <c r="K451" t="s">
        <v>48</v>
      </c>
      <c r="L451">
        <v>2025</v>
      </c>
      <c r="M451" t="s">
        <v>1254</v>
      </c>
    </row>
    <row r="452" spans="1:13" x14ac:dyDescent="0.35">
      <c r="A452" t="s">
        <v>1255</v>
      </c>
      <c r="B452" t="s">
        <v>1256</v>
      </c>
      <c r="C452" t="s">
        <v>25</v>
      </c>
      <c r="D452" t="s">
        <v>26</v>
      </c>
      <c r="E452" t="s">
        <v>34</v>
      </c>
      <c r="F452" t="s">
        <v>67</v>
      </c>
      <c r="G452" t="s">
        <v>19</v>
      </c>
      <c r="H452">
        <v>277773</v>
      </c>
      <c r="I452">
        <v>40408.75</v>
      </c>
      <c r="J452" t="s">
        <v>97</v>
      </c>
      <c r="K452" t="s">
        <v>53</v>
      </c>
      <c r="L452">
        <v>2023</v>
      </c>
      <c r="M452" t="s">
        <v>1257</v>
      </c>
    </row>
    <row r="453" spans="1:13" x14ac:dyDescent="0.35">
      <c r="A453" t="s">
        <v>1258</v>
      </c>
      <c r="B453" t="s">
        <v>1259</v>
      </c>
      <c r="C453" t="s">
        <v>40</v>
      </c>
      <c r="D453" t="s">
        <v>41</v>
      </c>
      <c r="E453" t="s">
        <v>34</v>
      </c>
      <c r="F453" t="s">
        <v>67</v>
      </c>
      <c r="G453" t="s">
        <v>36</v>
      </c>
      <c r="H453">
        <v>169287</v>
      </c>
      <c r="I453">
        <v>26161.73</v>
      </c>
      <c r="J453" t="s">
        <v>113</v>
      </c>
      <c r="K453" t="s">
        <v>21</v>
      </c>
      <c r="L453">
        <v>2021</v>
      </c>
      <c r="M453" t="s">
        <v>626</v>
      </c>
    </row>
    <row r="454" spans="1:13" x14ac:dyDescent="0.35">
      <c r="A454" t="s">
        <v>1260</v>
      </c>
      <c r="B454" t="s">
        <v>715</v>
      </c>
      <c r="C454" t="s">
        <v>76</v>
      </c>
      <c r="D454" t="s">
        <v>105</v>
      </c>
      <c r="E454" t="s">
        <v>17</v>
      </c>
      <c r="F454" t="s">
        <v>72</v>
      </c>
      <c r="G454" t="s">
        <v>36</v>
      </c>
      <c r="H454">
        <v>71662</v>
      </c>
      <c r="I454">
        <v>-68566.23</v>
      </c>
      <c r="J454" t="s">
        <v>20</v>
      </c>
      <c r="K454" t="s">
        <v>48</v>
      </c>
      <c r="L454">
        <v>2023</v>
      </c>
      <c r="M454" t="s">
        <v>1211</v>
      </c>
    </row>
    <row r="455" spans="1:13" x14ac:dyDescent="0.35">
      <c r="A455" t="s">
        <v>1261</v>
      </c>
      <c r="B455" t="s">
        <v>203</v>
      </c>
      <c r="C455" t="s">
        <v>15</v>
      </c>
      <c r="D455" t="s">
        <v>46</v>
      </c>
      <c r="E455" t="s">
        <v>34</v>
      </c>
      <c r="F455" t="s">
        <v>101</v>
      </c>
      <c r="G455" t="s">
        <v>78</v>
      </c>
      <c r="H455">
        <v>235215</v>
      </c>
      <c r="I455">
        <v>54136.99</v>
      </c>
      <c r="J455" t="s">
        <v>47</v>
      </c>
      <c r="K455" t="s">
        <v>30</v>
      </c>
      <c r="L455">
        <v>2024</v>
      </c>
      <c r="M455" t="s">
        <v>462</v>
      </c>
    </row>
    <row r="456" spans="1:13" x14ac:dyDescent="0.35">
      <c r="A456" t="s">
        <v>1262</v>
      </c>
      <c r="B456" t="s">
        <v>1263</v>
      </c>
      <c r="C456" t="s">
        <v>76</v>
      </c>
      <c r="D456" t="s">
        <v>105</v>
      </c>
      <c r="E456" t="s">
        <v>34</v>
      </c>
      <c r="F456" t="s">
        <v>101</v>
      </c>
      <c r="G456" t="s">
        <v>19</v>
      </c>
      <c r="H456">
        <v>54740</v>
      </c>
      <c r="I456">
        <v>11266.02</v>
      </c>
      <c r="J456" t="s">
        <v>212</v>
      </c>
      <c r="K456" t="s">
        <v>30</v>
      </c>
      <c r="L456">
        <v>2023</v>
      </c>
      <c r="M456" t="s">
        <v>1264</v>
      </c>
    </row>
    <row r="457" spans="1:13" x14ac:dyDescent="0.35">
      <c r="A457" t="s">
        <v>1265</v>
      </c>
      <c r="B457" t="s">
        <v>1266</v>
      </c>
      <c r="C457" t="s">
        <v>25</v>
      </c>
      <c r="D457" t="s">
        <v>83</v>
      </c>
      <c r="E457" t="s">
        <v>27</v>
      </c>
      <c r="F457" t="s">
        <v>379</v>
      </c>
      <c r="G457" t="s">
        <v>36</v>
      </c>
      <c r="H457">
        <v>223449</v>
      </c>
      <c r="I457">
        <v>337.52</v>
      </c>
      <c r="J457" t="s">
        <v>29</v>
      </c>
      <c r="K457" t="s">
        <v>30</v>
      </c>
      <c r="L457">
        <v>2021</v>
      </c>
      <c r="M457" t="s">
        <v>1267</v>
      </c>
    </row>
    <row r="458" spans="1:13" x14ac:dyDescent="0.35">
      <c r="A458" t="s">
        <v>1268</v>
      </c>
      <c r="B458" t="s">
        <v>1269</v>
      </c>
      <c r="C458" t="s">
        <v>15</v>
      </c>
      <c r="D458" t="s">
        <v>46</v>
      </c>
      <c r="E458" t="s">
        <v>17</v>
      </c>
      <c r="F458" t="s">
        <v>42</v>
      </c>
      <c r="G458" t="s">
        <v>68</v>
      </c>
      <c r="H458">
        <v>37122</v>
      </c>
      <c r="I458">
        <v>-35124.089999999997</v>
      </c>
      <c r="J458" t="s">
        <v>113</v>
      </c>
      <c r="K458" t="s">
        <v>30</v>
      </c>
      <c r="L458">
        <v>2025</v>
      </c>
      <c r="M458" t="s">
        <v>172</v>
      </c>
    </row>
    <row r="459" spans="1:13" x14ac:dyDescent="0.35">
      <c r="A459" t="s">
        <v>1270</v>
      </c>
      <c r="B459" t="s">
        <v>1271</v>
      </c>
      <c r="C459" t="s">
        <v>40</v>
      </c>
      <c r="D459" t="s">
        <v>96</v>
      </c>
      <c r="E459" t="s">
        <v>34</v>
      </c>
      <c r="F459" t="s">
        <v>35</v>
      </c>
      <c r="G459" t="s">
        <v>19</v>
      </c>
      <c r="H459">
        <v>113316</v>
      </c>
      <c r="I459">
        <v>24937.06</v>
      </c>
      <c r="J459" t="s">
        <v>97</v>
      </c>
      <c r="K459" t="s">
        <v>53</v>
      </c>
      <c r="L459">
        <v>2024</v>
      </c>
      <c r="M459" t="s">
        <v>1272</v>
      </c>
    </row>
    <row r="460" spans="1:13" x14ac:dyDescent="0.35">
      <c r="A460" t="s">
        <v>1273</v>
      </c>
      <c r="B460" t="s">
        <v>1274</v>
      </c>
      <c r="C460" t="s">
        <v>40</v>
      </c>
      <c r="D460" t="s">
        <v>96</v>
      </c>
      <c r="E460" t="s">
        <v>17</v>
      </c>
      <c r="F460" t="s">
        <v>52</v>
      </c>
      <c r="G460" t="s">
        <v>36</v>
      </c>
      <c r="H460">
        <v>183055</v>
      </c>
      <c r="I460">
        <v>-144608.25</v>
      </c>
      <c r="J460" t="s">
        <v>212</v>
      </c>
      <c r="K460" t="s">
        <v>30</v>
      </c>
      <c r="L460">
        <v>2024</v>
      </c>
      <c r="M460" t="s">
        <v>1275</v>
      </c>
    </row>
    <row r="461" spans="1:13" x14ac:dyDescent="0.35">
      <c r="A461" t="s">
        <v>1276</v>
      </c>
      <c r="B461" t="s">
        <v>1097</v>
      </c>
      <c r="C461" t="s">
        <v>76</v>
      </c>
      <c r="D461" t="s">
        <v>171</v>
      </c>
      <c r="E461" t="s">
        <v>17</v>
      </c>
      <c r="F461" t="s">
        <v>112</v>
      </c>
      <c r="G461" t="s">
        <v>78</v>
      </c>
      <c r="H461">
        <v>192257</v>
      </c>
      <c r="I461">
        <v>-178159.25</v>
      </c>
      <c r="J461" t="s">
        <v>47</v>
      </c>
      <c r="K461" t="s">
        <v>48</v>
      </c>
      <c r="L461">
        <v>2023</v>
      </c>
      <c r="M461" t="s">
        <v>1277</v>
      </c>
    </row>
    <row r="462" spans="1:13" x14ac:dyDescent="0.35">
      <c r="A462" t="s">
        <v>1278</v>
      </c>
      <c r="B462" t="s">
        <v>1279</v>
      </c>
      <c r="C462" t="s">
        <v>25</v>
      </c>
      <c r="D462" t="s">
        <v>149</v>
      </c>
      <c r="E462" t="s">
        <v>138</v>
      </c>
      <c r="F462" t="s">
        <v>208</v>
      </c>
      <c r="G462" t="s">
        <v>78</v>
      </c>
      <c r="H462">
        <v>218550</v>
      </c>
      <c r="I462">
        <v>-43309.46</v>
      </c>
      <c r="J462" t="s">
        <v>113</v>
      </c>
      <c r="K462" t="s">
        <v>48</v>
      </c>
      <c r="L462">
        <v>2025</v>
      </c>
      <c r="M462" t="s">
        <v>1280</v>
      </c>
    </row>
    <row r="463" spans="1:13" x14ac:dyDescent="0.35">
      <c r="A463" t="s">
        <v>1281</v>
      </c>
      <c r="B463" t="s">
        <v>1187</v>
      </c>
      <c r="C463" t="s">
        <v>40</v>
      </c>
      <c r="D463" t="s">
        <v>66</v>
      </c>
      <c r="E463" t="s">
        <v>34</v>
      </c>
      <c r="F463" t="s">
        <v>58</v>
      </c>
      <c r="G463" t="s">
        <v>68</v>
      </c>
      <c r="H463">
        <v>268725</v>
      </c>
      <c r="I463">
        <v>60782.41</v>
      </c>
      <c r="J463" t="s">
        <v>47</v>
      </c>
      <c r="K463" t="s">
        <v>48</v>
      </c>
      <c r="L463">
        <v>2023</v>
      </c>
      <c r="M463" t="s">
        <v>120</v>
      </c>
    </row>
    <row r="464" spans="1:13" x14ac:dyDescent="0.35">
      <c r="A464" t="s">
        <v>1282</v>
      </c>
      <c r="B464" t="s">
        <v>475</v>
      </c>
      <c r="C464" t="s">
        <v>76</v>
      </c>
      <c r="D464" t="s">
        <v>77</v>
      </c>
      <c r="E464" t="s">
        <v>34</v>
      </c>
      <c r="F464" t="s">
        <v>35</v>
      </c>
      <c r="G464" t="s">
        <v>19</v>
      </c>
      <c r="H464">
        <v>218677</v>
      </c>
      <c r="I464">
        <v>20387.86</v>
      </c>
      <c r="J464" t="s">
        <v>20</v>
      </c>
      <c r="K464" t="s">
        <v>53</v>
      </c>
      <c r="L464">
        <v>2024</v>
      </c>
      <c r="M464" t="s">
        <v>190</v>
      </c>
    </row>
    <row r="465" spans="1:13" x14ac:dyDescent="0.35">
      <c r="A465" t="s">
        <v>1283</v>
      </c>
      <c r="B465" t="s">
        <v>1284</v>
      </c>
      <c r="C465" t="s">
        <v>25</v>
      </c>
      <c r="D465" t="s">
        <v>149</v>
      </c>
      <c r="E465" t="s">
        <v>34</v>
      </c>
      <c r="F465" t="s">
        <v>58</v>
      </c>
      <c r="G465" t="s">
        <v>19</v>
      </c>
      <c r="H465">
        <v>67646</v>
      </c>
      <c r="I465">
        <v>4021.18</v>
      </c>
      <c r="J465" t="s">
        <v>20</v>
      </c>
      <c r="K465" t="s">
        <v>53</v>
      </c>
      <c r="L465">
        <v>2023</v>
      </c>
      <c r="M465" t="s">
        <v>1285</v>
      </c>
    </row>
    <row r="466" spans="1:13" x14ac:dyDescent="0.35">
      <c r="A466" t="s">
        <v>1286</v>
      </c>
      <c r="B466" t="s">
        <v>1287</v>
      </c>
      <c r="C466" t="s">
        <v>25</v>
      </c>
      <c r="D466" t="s">
        <v>83</v>
      </c>
      <c r="E466" t="s">
        <v>17</v>
      </c>
      <c r="F466" t="s">
        <v>52</v>
      </c>
      <c r="G466" t="s">
        <v>19</v>
      </c>
      <c r="H466">
        <v>38774</v>
      </c>
      <c r="I466">
        <v>-35260.07</v>
      </c>
      <c r="J466" t="s">
        <v>212</v>
      </c>
      <c r="K466" t="s">
        <v>48</v>
      </c>
      <c r="L466">
        <v>2022</v>
      </c>
      <c r="M466" t="s">
        <v>1288</v>
      </c>
    </row>
    <row r="467" spans="1:13" x14ac:dyDescent="0.35">
      <c r="A467" t="s">
        <v>1289</v>
      </c>
      <c r="B467" t="s">
        <v>1290</v>
      </c>
      <c r="C467" t="s">
        <v>25</v>
      </c>
      <c r="D467" t="s">
        <v>26</v>
      </c>
      <c r="E467" t="s">
        <v>34</v>
      </c>
      <c r="F467" t="s">
        <v>35</v>
      </c>
      <c r="G467" t="s">
        <v>68</v>
      </c>
      <c r="H467">
        <v>228083</v>
      </c>
      <c r="I467">
        <v>43599.3</v>
      </c>
      <c r="J467" t="s">
        <v>79</v>
      </c>
      <c r="K467" t="s">
        <v>48</v>
      </c>
      <c r="L467">
        <v>2021</v>
      </c>
      <c r="M467" t="s">
        <v>1291</v>
      </c>
    </row>
    <row r="468" spans="1:13" x14ac:dyDescent="0.35">
      <c r="A468" t="s">
        <v>1292</v>
      </c>
      <c r="B468" t="s">
        <v>180</v>
      </c>
      <c r="C468" t="s">
        <v>40</v>
      </c>
      <c r="D468" t="s">
        <v>96</v>
      </c>
      <c r="E468" t="s">
        <v>34</v>
      </c>
      <c r="F468" t="s">
        <v>58</v>
      </c>
      <c r="G468" t="s">
        <v>36</v>
      </c>
      <c r="H468">
        <v>288855</v>
      </c>
      <c r="I468">
        <v>42832.71</v>
      </c>
      <c r="J468" t="s">
        <v>79</v>
      </c>
      <c r="K468" t="s">
        <v>21</v>
      </c>
      <c r="L468">
        <v>2025</v>
      </c>
      <c r="M468" t="s">
        <v>1293</v>
      </c>
    </row>
    <row r="469" spans="1:13" x14ac:dyDescent="0.35">
      <c r="A469" t="s">
        <v>1294</v>
      </c>
      <c r="B469" t="s">
        <v>1033</v>
      </c>
      <c r="C469" t="s">
        <v>25</v>
      </c>
      <c r="D469" t="s">
        <v>149</v>
      </c>
      <c r="E469" t="s">
        <v>138</v>
      </c>
      <c r="F469" t="s">
        <v>139</v>
      </c>
      <c r="G469" t="s">
        <v>19</v>
      </c>
      <c r="H469">
        <v>226275</v>
      </c>
      <c r="I469">
        <v>19703.080000000002</v>
      </c>
      <c r="J469" t="s">
        <v>97</v>
      </c>
      <c r="K469" t="s">
        <v>30</v>
      </c>
      <c r="L469">
        <v>2021</v>
      </c>
      <c r="M469" t="s">
        <v>1295</v>
      </c>
    </row>
    <row r="470" spans="1:13" x14ac:dyDescent="0.35">
      <c r="A470" t="s">
        <v>1296</v>
      </c>
      <c r="B470" t="s">
        <v>1297</v>
      </c>
      <c r="C470" t="s">
        <v>40</v>
      </c>
      <c r="D470" t="s">
        <v>66</v>
      </c>
      <c r="E470" t="s">
        <v>17</v>
      </c>
      <c r="F470" t="s">
        <v>72</v>
      </c>
      <c r="G470" t="s">
        <v>36</v>
      </c>
      <c r="H470">
        <v>47454</v>
      </c>
      <c r="I470">
        <v>-37913.360000000001</v>
      </c>
      <c r="J470" t="s">
        <v>113</v>
      </c>
      <c r="K470" t="s">
        <v>21</v>
      </c>
      <c r="L470">
        <v>2022</v>
      </c>
      <c r="M470" t="s">
        <v>1298</v>
      </c>
    </row>
    <row r="471" spans="1:13" x14ac:dyDescent="0.35">
      <c r="A471" t="s">
        <v>1299</v>
      </c>
      <c r="B471" t="s">
        <v>1300</v>
      </c>
      <c r="C471" t="s">
        <v>15</v>
      </c>
      <c r="D471" t="s">
        <v>46</v>
      </c>
      <c r="E471" t="s">
        <v>34</v>
      </c>
      <c r="F471" t="s">
        <v>67</v>
      </c>
      <c r="G471" t="s">
        <v>78</v>
      </c>
      <c r="H471">
        <v>198202</v>
      </c>
      <c r="I471">
        <v>23095.65</v>
      </c>
      <c r="J471" t="s">
        <v>59</v>
      </c>
      <c r="K471" t="s">
        <v>30</v>
      </c>
      <c r="L471">
        <v>2023</v>
      </c>
      <c r="M471" t="s">
        <v>866</v>
      </c>
    </row>
    <row r="472" spans="1:13" x14ac:dyDescent="0.35">
      <c r="A472" t="s">
        <v>1301</v>
      </c>
      <c r="B472" t="s">
        <v>576</v>
      </c>
      <c r="C472" t="s">
        <v>25</v>
      </c>
      <c r="D472" t="s">
        <v>26</v>
      </c>
      <c r="E472" t="s">
        <v>17</v>
      </c>
      <c r="F472" t="s">
        <v>112</v>
      </c>
      <c r="G472" t="s">
        <v>36</v>
      </c>
      <c r="H472">
        <v>18619</v>
      </c>
      <c r="I472">
        <v>-13905.2</v>
      </c>
      <c r="J472" t="s">
        <v>29</v>
      </c>
      <c r="K472" t="s">
        <v>53</v>
      </c>
      <c r="L472">
        <v>2022</v>
      </c>
      <c r="M472" t="s">
        <v>1246</v>
      </c>
    </row>
    <row r="473" spans="1:13" x14ac:dyDescent="0.35">
      <c r="A473" t="s">
        <v>1302</v>
      </c>
      <c r="B473" t="s">
        <v>1303</v>
      </c>
      <c r="C473" t="s">
        <v>40</v>
      </c>
      <c r="D473" t="s">
        <v>66</v>
      </c>
      <c r="E473" t="s">
        <v>34</v>
      </c>
      <c r="F473" t="s">
        <v>35</v>
      </c>
      <c r="G473" t="s">
        <v>19</v>
      </c>
      <c r="H473">
        <v>224696</v>
      </c>
      <c r="I473">
        <v>22569.78</v>
      </c>
      <c r="J473" t="s">
        <v>20</v>
      </c>
      <c r="K473" t="s">
        <v>53</v>
      </c>
      <c r="L473">
        <v>2021</v>
      </c>
      <c r="M473" t="s">
        <v>216</v>
      </c>
    </row>
    <row r="474" spans="1:13" x14ac:dyDescent="0.35">
      <c r="A474" t="s">
        <v>1304</v>
      </c>
      <c r="B474" t="s">
        <v>1305</v>
      </c>
      <c r="C474" t="s">
        <v>40</v>
      </c>
      <c r="D474" t="s">
        <v>96</v>
      </c>
      <c r="E474" t="s">
        <v>34</v>
      </c>
      <c r="F474" t="s">
        <v>35</v>
      </c>
      <c r="G474" t="s">
        <v>19</v>
      </c>
      <c r="H474">
        <v>119937</v>
      </c>
      <c r="I474">
        <v>15801.39</v>
      </c>
      <c r="J474" t="s">
        <v>212</v>
      </c>
      <c r="K474" t="s">
        <v>30</v>
      </c>
      <c r="L474">
        <v>2022</v>
      </c>
      <c r="M474" t="s">
        <v>1306</v>
      </c>
    </row>
    <row r="475" spans="1:13" x14ac:dyDescent="0.35">
      <c r="A475" t="s">
        <v>1307</v>
      </c>
      <c r="B475" t="s">
        <v>1308</v>
      </c>
      <c r="C475" t="s">
        <v>15</v>
      </c>
      <c r="D475" t="s">
        <v>16</v>
      </c>
      <c r="E475" t="s">
        <v>17</v>
      </c>
      <c r="F475" t="s">
        <v>112</v>
      </c>
      <c r="G475" t="s">
        <v>19</v>
      </c>
      <c r="H475">
        <v>111178</v>
      </c>
      <c r="I475">
        <v>-89918.07</v>
      </c>
      <c r="J475" t="s">
        <v>113</v>
      </c>
      <c r="K475" t="s">
        <v>30</v>
      </c>
      <c r="L475">
        <v>2021</v>
      </c>
      <c r="M475" t="s">
        <v>577</v>
      </c>
    </row>
    <row r="476" spans="1:13" x14ac:dyDescent="0.35">
      <c r="A476" t="s">
        <v>1309</v>
      </c>
      <c r="B476" t="s">
        <v>1310</v>
      </c>
      <c r="C476" t="s">
        <v>76</v>
      </c>
      <c r="D476" t="s">
        <v>77</v>
      </c>
      <c r="E476" t="s">
        <v>17</v>
      </c>
      <c r="F476" t="s">
        <v>112</v>
      </c>
      <c r="G476" t="s">
        <v>19</v>
      </c>
      <c r="H476">
        <v>84971</v>
      </c>
      <c r="I476">
        <v>-68382.7</v>
      </c>
      <c r="J476" t="s">
        <v>59</v>
      </c>
      <c r="K476" t="s">
        <v>48</v>
      </c>
      <c r="L476">
        <v>2022</v>
      </c>
      <c r="M476" t="s">
        <v>168</v>
      </c>
    </row>
    <row r="477" spans="1:13" x14ac:dyDescent="0.35">
      <c r="A477" t="s">
        <v>1311</v>
      </c>
      <c r="B477" t="s">
        <v>1312</v>
      </c>
      <c r="C477" t="s">
        <v>40</v>
      </c>
      <c r="D477" t="s">
        <v>96</v>
      </c>
      <c r="E477" t="s">
        <v>17</v>
      </c>
      <c r="F477" t="s">
        <v>52</v>
      </c>
      <c r="G477" t="s">
        <v>78</v>
      </c>
      <c r="H477">
        <v>115419</v>
      </c>
      <c r="I477">
        <v>-99395.67</v>
      </c>
      <c r="J477" t="s">
        <v>59</v>
      </c>
      <c r="K477" t="s">
        <v>53</v>
      </c>
      <c r="L477">
        <v>2023</v>
      </c>
      <c r="M477" t="s">
        <v>597</v>
      </c>
    </row>
    <row r="478" spans="1:13" x14ac:dyDescent="0.35">
      <c r="A478" t="s">
        <v>1313</v>
      </c>
      <c r="B478" t="s">
        <v>1314</v>
      </c>
      <c r="C478" t="s">
        <v>15</v>
      </c>
      <c r="D478" t="s">
        <v>57</v>
      </c>
      <c r="E478" t="s">
        <v>34</v>
      </c>
      <c r="F478" t="s">
        <v>58</v>
      </c>
      <c r="G478" t="s">
        <v>36</v>
      </c>
      <c r="H478">
        <v>274039</v>
      </c>
      <c r="I478">
        <v>63055.12</v>
      </c>
      <c r="J478" t="s">
        <v>29</v>
      </c>
      <c r="K478" t="s">
        <v>53</v>
      </c>
      <c r="L478">
        <v>2023</v>
      </c>
      <c r="M478" t="s">
        <v>1315</v>
      </c>
    </row>
    <row r="479" spans="1:13" x14ac:dyDescent="0.35">
      <c r="A479" t="s">
        <v>1316</v>
      </c>
      <c r="B479" t="s">
        <v>1317</v>
      </c>
      <c r="C479" t="s">
        <v>40</v>
      </c>
      <c r="D479" t="s">
        <v>66</v>
      </c>
      <c r="E479" t="s">
        <v>17</v>
      </c>
      <c r="F479" t="s">
        <v>52</v>
      </c>
      <c r="G479" t="s">
        <v>78</v>
      </c>
      <c r="H479">
        <v>123390</v>
      </c>
      <c r="I479">
        <v>-123345.96</v>
      </c>
      <c r="J479" t="s">
        <v>47</v>
      </c>
      <c r="K479" t="s">
        <v>21</v>
      </c>
      <c r="L479">
        <v>2023</v>
      </c>
      <c r="M479" t="s">
        <v>1318</v>
      </c>
    </row>
    <row r="480" spans="1:13" x14ac:dyDescent="0.35">
      <c r="A480" t="s">
        <v>1319</v>
      </c>
      <c r="B480" t="s">
        <v>316</v>
      </c>
      <c r="C480" t="s">
        <v>40</v>
      </c>
      <c r="D480" t="s">
        <v>96</v>
      </c>
      <c r="E480" t="s">
        <v>34</v>
      </c>
      <c r="F480" t="s">
        <v>58</v>
      </c>
      <c r="G480" t="s">
        <v>78</v>
      </c>
      <c r="H480">
        <v>153635</v>
      </c>
      <c r="I480">
        <v>33426.99</v>
      </c>
      <c r="J480" t="s">
        <v>212</v>
      </c>
      <c r="K480" t="s">
        <v>21</v>
      </c>
      <c r="L480">
        <v>2022</v>
      </c>
      <c r="M480" t="s">
        <v>1320</v>
      </c>
    </row>
    <row r="481" spans="1:13" x14ac:dyDescent="0.35">
      <c r="A481" t="s">
        <v>1321</v>
      </c>
      <c r="B481" t="s">
        <v>1322</v>
      </c>
      <c r="C481" t="s">
        <v>25</v>
      </c>
      <c r="D481" t="s">
        <v>149</v>
      </c>
      <c r="E481" t="s">
        <v>34</v>
      </c>
      <c r="F481" t="s">
        <v>58</v>
      </c>
      <c r="G481" t="s">
        <v>36</v>
      </c>
      <c r="H481">
        <v>36203</v>
      </c>
      <c r="I481">
        <v>8119.97</v>
      </c>
      <c r="J481" t="s">
        <v>97</v>
      </c>
      <c r="K481" t="s">
        <v>48</v>
      </c>
      <c r="L481">
        <v>2023</v>
      </c>
      <c r="M481" t="s">
        <v>1323</v>
      </c>
    </row>
    <row r="482" spans="1:13" x14ac:dyDescent="0.35">
      <c r="A482" t="s">
        <v>1324</v>
      </c>
      <c r="B482" t="s">
        <v>1325</v>
      </c>
      <c r="C482" t="s">
        <v>25</v>
      </c>
      <c r="D482" t="s">
        <v>149</v>
      </c>
      <c r="E482" t="s">
        <v>34</v>
      </c>
      <c r="F482" t="s">
        <v>58</v>
      </c>
      <c r="G482" t="s">
        <v>36</v>
      </c>
      <c r="H482">
        <v>293551</v>
      </c>
      <c r="I482">
        <v>17525.86</v>
      </c>
      <c r="J482" t="s">
        <v>47</v>
      </c>
      <c r="K482" t="s">
        <v>30</v>
      </c>
      <c r="L482">
        <v>2021</v>
      </c>
      <c r="M482" t="s">
        <v>1291</v>
      </c>
    </row>
    <row r="483" spans="1:13" x14ac:dyDescent="0.35">
      <c r="A483" t="s">
        <v>1326</v>
      </c>
      <c r="B483" t="s">
        <v>82</v>
      </c>
      <c r="C483" t="s">
        <v>40</v>
      </c>
      <c r="D483" t="s">
        <v>41</v>
      </c>
      <c r="E483" t="s">
        <v>17</v>
      </c>
      <c r="F483" t="s">
        <v>18</v>
      </c>
      <c r="G483" t="s">
        <v>36</v>
      </c>
      <c r="H483">
        <v>67140</v>
      </c>
      <c r="I483">
        <v>-63097.88</v>
      </c>
      <c r="J483" t="s">
        <v>97</v>
      </c>
      <c r="K483" t="s">
        <v>48</v>
      </c>
      <c r="L483">
        <v>2023</v>
      </c>
      <c r="M483" t="s">
        <v>1152</v>
      </c>
    </row>
    <row r="484" spans="1:13" x14ac:dyDescent="0.35">
      <c r="A484" t="s">
        <v>1327</v>
      </c>
      <c r="B484" t="s">
        <v>296</v>
      </c>
      <c r="C484" t="s">
        <v>40</v>
      </c>
      <c r="D484" t="s">
        <v>66</v>
      </c>
      <c r="E484" t="s">
        <v>17</v>
      </c>
      <c r="F484" t="s">
        <v>18</v>
      </c>
      <c r="G484" t="s">
        <v>78</v>
      </c>
      <c r="H484">
        <v>184598</v>
      </c>
      <c r="I484">
        <v>-144525.44</v>
      </c>
      <c r="J484" t="s">
        <v>79</v>
      </c>
      <c r="K484" t="s">
        <v>21</v>
      </c>
      <c r="L484">
        <v>2022</v>
      </c>
      <c r="M484" t="s">
        <v>508</v>
      </c>
    </row>
    <row r="485" spans="1:13" x14ac:dyDescent="0.35">
      <c r="A485" t="s">
        <v>1328</v>
      </c>
      <c r="B485" t="s">
        <v>1329</v>
      </c>
      <c r="C485" t="s">
        <v>76</v>
      </c>
      <c r="D485" t="s">
        <v>171</v>
      </c>
      <c r="E485" t="s">
        <v>34</v>
      </c>
      <c r="F485" t="s">
        <v>101</v>
      </c>
      <c r="G485" t="s">
        <v>19</v>
      </c>
      <c r="H485">
        <v>101747</v>
      </c>
      <c r="I485">
        <v>10355.049999999999</v>
      </c>
      <c r="J485" t="s">
        <v>59</v>
      </c>
      <c r="K485" t="s">
        <v>21</v>
      </c>
      <c r="L485">
        <v>2025</v>
      </c>
      <c r="M485" t="s">
        <v>508</v>
      </c>
    </row>
    <row r="486" spans="1:13" x14ac:dyDescent="0.35">
      <c r="A486" t="s">
        <v>1330</v>
      </c>
      <c r="B486" t="s">
        <v>1331</v>
      </c>
      <c r="C486" t="s">
        <v>76</v>
      </c>
      <c r="D486" t="s">
        <v>105</v>
      </c>
      <c r="E486" t="s">
        <v>34</v>
      </c>
      <c r="F486" t="s">
        <v>67</v>
      </c>
      <c r="G486" t="s">
        <v>68</v>
      </c>
      <c r="H486">
        <v>172969</v>
      </c>
      <c r="I486">
        <v>14927.13</v>
      </c>
      <c r="J486" t="s">
        <v>212</v>
      </c>
      <c r="K486" t="s">
        <v>48</v>
      </c>
      <c r="L486">
        <v>2024</v>
      </c>
      <c r="M486" t="s">
        <v>1332</v>
      </c>
    </row>
    <row r="487" spans="1:13" x14ac:dyDescent="0.35">
      <c r="A487" t="s">
        <v>1333</v>
      </c>
      <c r="B487" t="s">
        <v>1334</v>
      </c>
      <c r="C487" t="s">
        <v>25</v>
      </c>
      <c r="D487" t="s">
        <v>83</v>
      </c>
      <c r="E487" t="s">
        <v>17</v>
      </c>
      <c r="F487" t="s">
        <v>18</v>
      </c>
      <c r="G487" t="s">
        <v>36</v>
      </c>
      <c r="H487">
        <v>42109</v>
      </c>
      <c r="I487">
        <v>-35622.68</v>
      </c>
      <c r="J487" t="s">
        <v>97</v>
      </c>
      <c r="K487" t="s">
        <v>53</v>
      </c>
      <c r="L487">
        <v>2021</v>
      </c>
      <c r="M487" t="s">
        <v>1335</v>
      </c>
    </row>
    <row r="488" spans="1:13" x14ac:dyDescent="0.35">
      <c r="A488" t="s">
        <v>1336</v>
      </c>
      <c r="B488" t="s">
        <v>1337</v>
      </c>
      <c r="C488" t="s">
        <v>15</v>
      </c>
      <c r="D488" t="s">
        <v>46</v>
      </c>
      <c r="E488" t="s">
        <v>17</v>
      </c>
      <c r="F488" t="s">
        <v>72</v>
      </c>
      <c r="G488" t="s">
        <v>78</v>
      </c>
      <c r="H488">
        <v>111183</v>
      </c>
      <c r="I488">
        <v>-81792.479999999996</v>
      </c>
      <c r="J488" t="s">
        <v>29</v>
      </c>
      <c r="K488" t="s">
        <v>21</v>
      </c>
      <c r="L488">
        <v>2025</v>
      </c>
      <c r="M488" t="s">
        <v>1338</v>
      </c>
    </row>
    <row r="489" spans="1:13" x14ac:dyDescent="0.35">
      <c r="A489" t="s">
        <v>1339</v>
      </c>
      <c r="B489" t="s">
        <v>322</v>
      </c>
      <c r="C489" t="s">
        <v>40</v>
      </c>
      <c r="D489" t="s">
        <v>41</v>
      </c>
      <c r="E489" t="s">
        <v>27</v>
      </c>
      <c r="F489" t="s">
        <v>219</v>
      </c>
      <c r="G489" t="s">
        <v>36</v>
      </c>
      <c r="H489">
        <v>539944</v>
      </c>
      <c r="I489">
        <v>7303</v>
      </c>
      <c r="J489" t="s">
        <v>97</v>
      </c>
      <c r="K489" t="s">
        <v>30</v>
      </c>
      <c r="L489">
        <v>2021</v>
      </c>
      <c r="M489" t="s">
        <v>1340</v>
      </c>
    </row>
    <row r="490" spans="1:13" x14ac:dyDescent="0.35">
      <c r="A490" t="s">
        <v>1341</v>
      </c>
      <c r="B490" t="s">
        <v>1342</v>
      </c>
      <c r="C490" t="s">
        <v>76</v>
      </c>
      <c r="D490" t="s">
        <v>105</v>
      </c>
      <c r="E490" t="s">
        <v>17</v>
      </c>
      <c r="F490" t="s">
        <v>72</v>
      </c>
      <c r="G490" t="s">
        <v>68</v>
      </c>
      <c r="H490">
        <v>68226</v>
      </c>
      <c r="I490">
        <v>-56203.58</v>
      </c>
      <c r="J490" t="s">
        <v>97</v>
      </c>
      <c r="K490" t="s">
        <v>53</v>
      </c>
      <c r="L490">
        <v>2025</v>
      </c>
      <c r="M490" t="s">
        <v>1343</v>
      </c>
    </row>
    <row r="491" spans="1:13" x14ac:dyDescent="0.35">
      <c r="A491" t="s">
        <v>1344</v>
      </c>
      <c r="B491" t="s">
        <v>1345</v>
      </c>
      <c r="C491" t="s">
        <v>76</v>
      </c>
      <c r="D491" t="s">
        <v>105</v>
      </c>
      <c r="E491" t="s">
        <v>17</v>
      </c>
      <c r="F491" t="s">
        <v>112</v>
      </c>
      <c r="G491" t="s">
        <v>19</v>
      </c>
      <c r="H491">
        <v>39070</v>
      </c>
      <c r="I491">
        <v>-37598.839999999997</v>
      </c>
      <c r="J491" t="s">
        <v>97</v>
      </c>
      <c r="K491" t="s">
        <v>21</v>
      </c>
      <c r="L491">
        <v>2024</v>
      </c>
      <c r="M491" t="s">
        <v>1346</v>
      </c>
    </row>
    <row r="492" spans="1:13" x14ac:dyDescent="0.35">
      <c r="A492" t="s">
        <v>1347</v>
      </c>
      <c r="B492" t="s">
        <v>769</v>
      </c>
      <c r="C492" t="s">
        <v>40</v>
      </c>
      <c r="D492" t="s">
        <v>66</v>
      </c>
      <c r="E492" t="s">
        <v>34</v>
      </c>
      <c r="F492" t="s">
        <v>101</v>
      </c>
      <c r="G492" t="s">
        <v>19</v>
      </c>
      <c r="H492">
        <v>292079</v>
      </c>
      <c r="I492">
        <v>71613.62</v>
      </c>
      <c r="J492" t="s">
        <v>20</v>
      </c>
      <c r="K492" t="s">
        <v>53</v>
      </c>
      <c r="L492">
        <v>2024</v>
      </c>
      <c r="M492" t="s">
        <v>311</v>
      </c>
    </row>
    <row r="493" spans="1:13" x14ac:dyDescent="0.35">
      <c r="A493" t="s">
        <v>1348</v>
      </c>
      <c r="B493" t="s">
        <v>1349</v>
      </c>
      <c r="C493" t="s">
        <v>25</v>
      </c>
      <c r="D493" t="s">
        <v>149</v>
      </c>
      <c r="E493" t="s">
        <v>34</v>
      </c>
      <c r="F493" t="s">
        <v>101</v>
      </c>
      <c r="G493" t="s">
        <v>19</v>
      </c>
      <c r="H493">
        <v>177176</v>
      </c>
      <c r="I493">
        <v>18599.98</v>
      </c>
      <c r="J493" t="s">
        <v>29</v>
      </c>
      <c r="K493" t="s">
        <v>53</v>
      </c>
      <c r="L493">
        <v>2025</v>
      </c>
      <c r="M493" t="s">
        <v>1350</v>
      </c>
    </row>
    <row r="494" spans="1:13" x14ac:dyDescent="0.35">
      <c r="A494" t="s">
        <v>1351</v>
      </c>
      <c r="B494" t="s">
        <v>1279</v>
      </c>
      <c r="C494" t="s">
        <v>40</v>
      </c>
      <c r="D494" t="s">
        <v>41</v>
      </c>
      <c r="E494" t="s">
        <v>17</v>
      </c>
      <c r="F494" t="s">
        <v>18</v>
      </c>
      <c r="G494" t="s">
        <v>36</v>
      </c>
      <c r="H494">
        <v>174388</v>
      </c>
      <c r="I494">
        <v>-127233.94</v>
      </c>
      <c r="J494" t="s">
        <v>113</v>
      </c>
      <c r="K494" t="s">
        <v>48</v>
      </c>
      <c r="L494">
        <v>2025</v>
      </c>
      <c r="M494" t="s">
        <v>1352</v>
      </c>
    </row>
    <row r="495" spans="1:13" x14ac:dyDescent="0.35">
      <c r="A495" t="s">
        <v>1353</v>
      </c>
      <c r="B495" t="s">
        <v>1354</v>
      </c>
      <c r="C495" t="s">
        <v>76</v>
      </c>
      <c r="D495" t="s">
        <v>77</v>
      </c>
      <c r="E495" t="s">
        <v>17</v>
      </c>
      <c r="F495" t="s">
        <v>52</v>
      </c>
      <c r="G495" t="s">
        <v>68</v>
      </c>
      <c r="H495">
        <v>106142</v>
      </c>
      <c r="I495">
        <v>-93751.81</v>
      </c>
      <c r="J495" t="s">
        <v>20</v>
      </c>
      <c r="K495" t="s">
        <v>21</v>
      </c>
      <c r="L495">
        <v>2022</v>
      </c>
      <c r="M495" t="s">
        <v>754</v>
      </c>
    </row>
    <row r="496" spans="1:13" x14ac:dyDescent="0.35">
      <c r="A496" t="s">
        <v>1355</v>
      </c>
      <c r="B496" t="s">
        <v>1356</v>
      </c>
      <c r="C496" t="s">
        <v>76</v>
      </c>
      <c r="D496" t="s">
        <v>77</v>
      </c>
      <c r="E496" t="s">
        <v>17</v>
      </c>
      <c r="F496" t="s">
        <v>18</v>
      </c>
      <c r="G496" t="s">
        <v>19</v>
      </c>
      <c r="H496">
        <v>29234</v>
      </c>
      <c r="I496">
        <v>-22443.96</v>
      </c>
      <c r="J496" t="s">
        <v>59</v>
      </c>
      <c r="K496" t="s">
        <v>48</v>
      </c>
      <c r="L496">
        <v>2022</v>
      </c>
      <c r="M496" t="s">
        <v>729</v>
      </c>
    </row>
    <row r="497" spans="1:13" x14ac:dyDescent="0.35">
      <c r="A497" t="s">
        <v>1357</v>
      </c>
      <c r="B497" t="s">
        <v>1358</v>
      </c>
      <c r="C497" t="s">
        <v>40</v>
      </c>
      <c r="D497" t="s">
        <v>66</v>
      </c>
      <c r="E497" t="s">
        <v>34</v>
      </c>
      <c r="F497" t="s">
        <v>101</v>
      </c>
      <c r="G497" t="s">
        <v>68</v>
      </c>
      <c r="H497">
        <v>102575</v>
      </c>
      <c r="I497">
        <v>8810.7900000000009</v>
      </c>
      <c r="J497" t="s">
        <v>47</v>
      </c>
      <c r="K497" t="s">
        <v>30</v>
      </c>
      <c r="L497">
        <v>2023</v>
      </c>
      <c r="M497" t="s">
        <v>209</v>
      </c>
    </row>
    <row r="498" spans="1:13" x14ac:dyDescent="0.35">
      <c r="A498" t="s">
        <v>1359</v>
      </c>
      <c r="B498" t="s">
        <v>293</v>
      </c>
      <c r="C498" t="s">
        <v>25</v>
      </c>
      <c r="D498" t="s">
        <v>26</v>
      </c>
      <c r="E498" t="s">
        <v>34</v>
      </c>
      <c r="F498" t="s">
        <v>67</v>
      </c>
      <c r="G498" t="s">
        <v>19</v>
      </c>
      <c r="H498">
        <v>59881</v>
      </c>
      <c r="I498">
        <v>7469.78</v>
      </c>
      <c r="J498" t="s">
        <v>113</v>
      </c>
      <c r="K498" t="s">
        <v>21</v>
      </c>
      <c r="L498">
        <v>2024</v>
      </c>
      <c r="M498" t="s">
        <v>1360</v>
      </c>
    </row>
    <row r="499" spans="1:13" x14ac:dyDescent="0.35">
      <c r="A499" t="s">
        <v>1361</v>
      </c>
      <c r="B499" t="s">
        <v>1362</v>
      </c>
      <c r="C499" t="s">
        <v>25</v>
      </c>
      <c r="D499" t="s">
        <v>83</v>
      </c>
      <c r="E499" t="s">
        <v>17</v>
      </c>
      <c r="F499" t="s">
        <v>42</v>
      </c>
      <c r="G499" t="s">
        <v>68</v>
      </c>
      <c r="H499">
        <v>155467</v>
      </c>
      <c r="I499">
        <v>-131645.79</v>
      </c>
      <c r="J499" t="s">
        <v>212</v>
      </c>
      <c r="K499" t="s">
        <v>48</v>
      </c>
      <c r="L499">
        <v>2021</v>
      </c>
      <c r="M499" t="s">
        <v>1363</v>
      </c>
    </row>
    <row r="500" spans="1:13" x14ac:dyDescent="0.35">
      <c r="A500" t="s">
        <v>1364</v>
      </c>
      <c r="B500" t="s">
        <v>1365</v>
      </c>
      <c r="C500" t="s">
        <v>76</v>
      </c>
      <c r="D500" t="s">
        <v>171</v>
      </c>
      <c r="E500" t="s">
        <v>34</v>
      </c>
      <c r="F500" t="s">
        <v>58</v>
      </c>
      <c r="G500" t="s">
        <v>19</v>
      </c>
      <c r="H500">
        <v>142142</v>
      </c>
      <c r="I500">
        <v>7775.26</v>
      </c>
      <c r="J500" t="s">
        <v>113</v>
      </c>
      <c r="K500" t="s">
        <v>21</v>
      </c>
      <c r="L500">
        <v>2025</v>
      </c>
      <c r="M500" t="s">
        <v>190</v>
      </c>
    </row>
    <row r="501" spans="1:13" x14ac:dyDescent="0.35">
      <c r="A501" t="s">
        <v>1366</v>
      </c>
      <c r="B501" t="s">
        <v>1367</v>
      </c>
      <c r="C501" t="s">
        <v>15</v>
      </c>
      <c r="D501" t="s">
        <v>57</v>
      </c>
      <c r="E501" t="s">
        <v>27</v>
      </c>
      <c r="F501" t="s">
        <v>219</v>
      </c>
      <c r="G501" t="s">
        <v>36</v>
      </c>
      <c r="H501">
        <v>809897</v>
      </c>
      <c r="I501">
        <v>29030.2</v>
      </c>
      <c r="J501" t="s">
        <v>29</v>
      </c>
      <c r="K501" t="s">
        <v>53</v>
      </c>
      <c r="L501">
        <v>2023</v>
      </c>
      <c r="M501" t="s">
        <v>1368</v>
      </c>
    </row>
    <row r="502" spans="1:13" x14ac:dyDescent="0.35">
      <c r="A502" t="s">
        <v>1369</v>
      </c>
      <c r="B502" t="s">
        <v>1370</v>
      </c>
      <c r="C502" t="s">
        <v>40</v>
      </c>
      <c r="D502" t="s">
        <v>41</v>
      </c>
      <c r="E502" t="s">
        <v>34</v>
      </c>
      <c r="F502" t="s">
        <v>101</v>
      </c>
      <c r="G502" t="s">
        <v>19</v>
      </c>
      <c r="H502">
        <v>148970</v>
      </c>
      <c r="I502">
        <v>36095.4</v>
      </c>
      <c r="J502" t="s">
        <v>212</v>
      </c>
      <c r="K502" t="s">
        <v>48</v>
      </c>
      <c r="L502">
        <v>2024</v>
      </c>
      <c r="M502" t="s">
        <v>1371</v>
      </c>
    </row>
    <row r="503" spans="1:13" x14ac:dyDescent="0.35">
      <c r="A503" t="s">
        <v>1372</v>
      </c>
      <c r="B503" t="s">
        <v>1373</v>
      </c>
      <c r="C503" t="s">
        <v>40</v>
      </c>
      <c r="D503" t="s">
        <v>66</v>
      </c>
      <c r="E503" t="s">
        <v>17</v>
      </c>
      <c r="F503" t="s">
        <v>72</v>
      </c>
      <c r="G503" t="s">
        <v>36</v>
      </c>
      <c r="H503">
        <v>28231</v>
      </c>
      <c r="I503">
        <v>-21382.57</v>
      </c>
      <c r="J503" t="s">
        <v>29</v>
      </c>
      <c r="K503" t="s">
        <v>48</v>
      </c>
      <c r="L503">
        <v>2022</v>
      </c>
      <c r="M503" t="s">
        <v>1374</v>
      </c>
    </row>
    <row r="504" spans="1:13" x14ac:dyDescent="0.35">
      <c r="A504" t="s">
        <v>1375</v>
      </c>
      <c r="B504" t="s">
        <v>266</v>
      </c>
      <c r="C504" t="s">
        <v>25</v>
      </c>
      <c r="D504" t="s">
        <v>83</v>
      </c>
      <c r="E504" t="s">
        <v>17</v>
      </c>
      <c r="F504" t="s">
        <v>42</v>
      </c>
      <c r="G504" t="s">
        <v>36</v>
      </c>
      <c r="H504">
        <v>72389</v>
      </c>
      <c r="I504">
        <v>-65210.52</v>
      </c>
      <c r="J504" t="s">
        <v>29</v>
      </c>
      <c r="K504" t="s">
        <v>30</v>
      </c>
      <c r="L504">
        <v>2025</v>
      </c>
      <c r="M504" t="s">
        <v>1376</v>
      </c>
    </row>
    <row r="505" spans="1:13" x14ac:dyDescent="0.35">
      <c r="A505" t="s">
        <v>1377</v>
      </c>
      <c r="B505" t="s">
        <v>1378</v>
      </c>
      <c r="C505" t="s">
        <v>25</v>
      </c>
      <c r="D505" t="s">
        <v>83</v>
      </c>
      <c r="E505" t="s">
        <v>34</v>
      </c>
      <c r="F505" t="s">
        <v>101</v>
      </c>
      <c r="G505" t="s">
        <v>19</v>
      </c>
      <c r="H505">
        <v>83727</v>
      </c>
      <c r="I505">
        <v>17198</v>
      </c>
      <c r="J505" t="s">
        <v>79</v>
      </c>
      <c r="K505" t="s">
        <v>53</v>
      </c>
      <c r="L505">
        <v>2022</v>
      </c>
      <c r="M505" t="s">
        <v>285</v>
      </c>
    </row>
    <row r="506" spans="1:13" x14ac:dyDescent="0.35">
      <c r="A506" t="s">
        <v>1379</v>
      </c>
      <c r="B506" t="s">
        <v>1380</v>
      </c>
      <c r="C506" t="s">
        <v>40</v>
      </c>
      <c r="D506" t="s">
        <v>96</v>
      </c>
      <c r="E506" t="s">
        <v>17</v>
      </c>
      <c r="F506" t="s">
        <v>18</v>
      </c>
      <c r="G506" t="s">
        <v>78</v>
      </c>
      <c r="H506">
        <v>183664</v>
      </c>
      <c r="I506">
        <v>-149132.9</v>
      </c>
      <c r="J506" t="s">
        <v>79</v>
      </c>
      <c r="K506" t="s">
        <v>30</v>
      </c>
      <c r="L506">
        <v>2024</v>
      </c>
      <c r="M506" t="s">
        <v>1381</v>
      </c>
    </row>
    <row r="507" spans="1:13" x14ac:dyDescent="0.35">
      <c r="A507" t="s">
        <v>1382</v>
      </c>
      <c r="B507" t="s">
        <v>1383</v>
      </c>
      <c r="C507" t="s">
        <v>25</v>
      </c>
      <c r="D507" t="s">
        <v>26</v>
      </c>
      <c r="E507" t="s">
        <v>27</v>
      </c>
      <c r="F507" t="s">
        <v>28</v>
      </c>
      <c r="G507" t="s">
        <v>19</v>
      </c>
      <c r="H507">
        <v>430261</v>
      </c>
      <c r="I507">
        <v>63976.65</v>
      </c>
      <c r="J507" t="s">
        <v>113</v>
      </c>
      <c r="K507" t="s">
        <v>53</v>
      </c>
      <c r="L507">
        <v>2024</v>
      </c>
      <c r="M507" t="s">
        <v>1384</v>
      </c>
    </row>
    <row r="508" spans="1:13" x14ac:dyDescent="0.35">
      <c r="A508" t="s">
        <v>1385</v>
      </c>
      <c r="B508" t="s">
        <v>1386</v>
      </c>
      <c r="C508" t="s">
        <v>40</v>
      </c>
      <c r="D508" t="s">
        <v>41</v>
      </c>
      <c r="E508" t="s">
        <v>34</v>
      </c>
      <c r="F508" t="s">
        <v>101</v>
      </c>
      <c r="G508" t="s">
        <v>68</v>
      </c>
      <c r="H508">
        <v>71325</v>
      </c>
      <c r="I508">
        <v>5492.48</v>
      </c>
      <c r="J508" t="s">
        <v>97</v>
      </c>
      <c r="K508" t="s">
        <v>21</v>
      </c>
      <c r="L508">
        <v>2024</v>
      </c>
      <c r="M508" t="s">
        <v>1387</v>
      </c>
    </row>
    <row r="509" spans="1:13" x14ac:dyDescent="0.35">
      <c r="A509" t="s">
        <v>1388</v>
      </c>
      <c r="B509" t="s">
        <v>1389</v>
      </c>
      <c r="C509" t="s">
        <v>76</v>
      </c>
      <c r="D509" t="s">
        <v>105</v>
      </c>
      <c r="E509" t="s">
        <v>34</v>
      </c>
      <c r="F509" t="s">
        <v>101</v>
      </c>
      <c r="G509" t="s">
        <v>19</v>
      </c>
      <c r="H509">
        <v>156057</v>
      </c>
      <c r="I509">
        <v>38006.21</v>
      </c>
      <c r="J509" t="s">
        <v>29</v>
      </c>
      <c r="K509" t="s">
        <v>48</v>
      </c>
      <c r="L509">
        <v>2021</v>
      </c>
      <c r="M509" t="s">
        <v>1390</v>
      </c>
    </row>
    <row r="510" spans="1:13" x14ac:dyDescent="0.35">
      <c r="A510" t="s">
        <v>1391</v>
      </c>
      <c r="B510" t="s">
        <v>108</v>
      </c>
      <c r="C510" t="s">
        <v>40</v>
      </c>
      <c r="D510" t="s">
        <v>41</v>
      </c>
      <c r="E510" t="s">
        <v>34</v>
      </c>
      <c r="F510" t="s">
        <v>101</v>
      </c>
      <c r="G510" t="s">
        <v>68</v>
      </c>
      <c r="H510">
        <v>226035</v>
      </c>
      <c r="I510">
        <v>18170.86</v>
      </c>
      <c r="J510" t="s">
        <v>212</v>
      </c>
      <c r="K510" t="s">
        <v>30</v>
      </c>
      <c r="L510">
        <v>2022</v>
      </c>
      <c r="M510" t="s">
        <v>557</v>
      </c>
    </row>
    <row r="511" spans="1:13" x14ac:dyDescent="0.35">
      <c r="A511" t="s">
        <v>1392</v>
      </c>
      <c r="B511" t="s">
        <v>1393</v>
      </c>
      <c r="C511" t="s">
        <v>76</v>
      </c>
      <c r="D511" t="s">
        <v>171</v>
      </c>
      <c r="E511" t="s">
        <v>17</v>
      </c>
      <c r="F511" t="s">
        <v>18</v>
      </c>
      <c r="G511" t="s">
        <v>68</v>
      </c>
      <c r="H511">
        <v>14162</v>
      </c>
      <c r="I511">
        <v>-10390.549999999999</v>
      </c>
      <c r="J511" t="s">
        <v>79</v>
      </c>
      <c r="K511" t="s">
        <v>48</v>
      </c>
      <c r="L511">
        <v>2023</v>
      </c>
      <c r="M511" t="s">
        <v>758</v>
      </c>
    </row>
    <row r="512" spans="1:13" x14ac:dyDescent="0.35">
      <c r="A512" t="s">
        <v>1394</v>
      </c>
      <c r="B512" t="s">
        <v>883</v>
      </c>
      <c r="C512" t="s">
        <v>40</v>
      </c>
      <c r="D512" t="s">
        <v>41</v>
      </c>
      <c r="E512" t="s">
        <v>17</v>
      </c>
      <c r="F512" t="s">
        <v>18</v>
      </c>
      <c r="G512" t="s">
        <v>78</v>
      </c>
      <c r="H512">
        <v>147610</v>
      </c>
      <c r="I512">
        <v>-123397.6</v>
      </c>
      <c r="J512" t="s">
        <v>29</v>
      </c>
      <c r="K512" t="s">
        <v>48</v>
      </c>
      <c r="L512">
        <v>2023</v>
      </c>
      <c r="M512" t="s">
        <v>140</v>
      </c>
    </row>
    <row r="513" spans="1:13" x14ac:dyDescent="0.35">
      <c r="A513" t="s">
        <v>1395</v>
      </c>
      <c r="B513" t="s">
        <v>222</v>
      </c>
      <c r="C513" t="s">
        <v>15</v>
      </c>
      <c r="D513" t="s">
        <v>46</v>
      </c>
      <c r="E513" t="s">
        <v>17</v>
      </c>
      <c r="F513" t="s">
        <v>72</v>
      </c>
      <c r="G513" t="s">
        <v>78</v>
      </c>
      <c r="H513">
        <v>191012</v>
      </c>
      <c r="I513">
        <v>-172938.4</v>
      </c>
      <c r="J513" t="s">
        <v>59</v>
      </c>
      <c r="K513" t="s">
        <v>30</v>
      </c>
      <c r="L513">
        <v>2025</v>
      </c>
      <c r="M513" t="s">
        <v>1396</v>
      </c>
    </row>
    <row r="514" spans="1:13" x14ac:dyDescent="0.35">
      <c r="A514" t="s">
        <v>1397</v>
      </c>
      <c r="B514" t="s">
        <v>1398</v>
      </c>
      <c r="C514" t="s">
        <v>25</v>
      </c>
      <c r="D514" t="s">
        <v>26</v>
      </c>
      <c r="E514" t="s">
        <v>17</v>
      </c>
      <c r="F514" t="s">
        <v>52</v>
      </c>
      <c r="G514" t="s">
        <v>36</v>
      </c>
      <c r="H514">
        <v>63987</v>
      </c>
      <c r="I514">
        <v>-48553.120000000003</v>
      </c>
      <c r="J514" t="s">
        <v>59</v>
      </c>
      <c r="K514" t="s">
        <v>30</v>
      </c>
      <c r="L514">
        <v>2025</v>
      </c>
      <c r="M514" t="s">
        <v>1399</v>
      </c>
    </row>
    <row r="515" spans="1:13" x14ac:dyDescent="0.35">
      <c r="A515" t="s">
        <v>1400</v>
      </c>
      <c r="B515" t="s">
        <v>1401</v>
      </c>
      <c r="C515" t="s">
        <v>25</v>
      </c>
      <c r="D515" t="s">
        <v>26</v>
      </c>
      <c r="E515" t="s">
        <v>34</v>
      </c>
      <c r="F515" t="s">
        <v>101</v>
      </c>
      <c r="G515" t="s">
        <v>78</v>
      </c>
      <c r="H515">
        <v>171949</v>
      </c>
      <c r="I515">
        <v>19443.07</v>
      </c>
      <c r="J515" t="s">
        <v>20</v>
      </c>
      <c r="K515" t="s">
        <v>30</v>
      </c>
      <c r="L515">
        <v>2023</v>
      </c>
      <c r="M515" t="s">
        <v>417</v>
      </c>
    </row>
    <row r="516" spans="1:13" x14ac:dyDescent="0.35">
      <c r="A516" t="s">
        <v>1402</v>
      </c>
      <c r="B516" t="s">
        <v>1403</v>
      </c>
      <c r="C516" t="s">
        <v>15</v>
      </c>
      <c r="D516" t="s">
        <v>16</v>
      </c>
      <c r="E516" t="s">
        <v>34</v>
      </c>
      <c r="F516" t="s">
        <v>67</v>
      </c>
      <c r="G516" t="s">
        <v>36</v>
      </c>
      <c r="H516">
        <v>51939</v>
      </c>
      <c r="I516">
        <v>2725.21</v>
      </c>
      <c r="J516" t="s">
        <v>47</v>
      </c>
      <c r="K516" t="s">
        <v>48</v>
      </c>
      <c r="L516">
        <v>2021</v>
      </c>
      <c r="M516" t="s">
        <v>1087</v>
      </c>
    </row>
    <row r="517" spans="1:13" x14ac:dyDescent="0.35">
      <c r="A517" t="s">
        <v>1404</v>
      </c>
      <c r="B517" t="s">
        <v>994</v>
      </c>
      <c r="C517" t="s">
        <v>25</v>
      </c>
      <c r="D517" t="s">
        <v>26</v>
      </c>
      <c r="E517" t="s">
        <v>17</v>
      </c>
      <c r="F517" t="s">
        <v>72</v>
      </c>
      <c r="G517" t="s">
        <v>36</v>
      </c>
      <c r="H517">
        <v>84269</v>
      </c>
      <c r="I517">
        <v>-67636.83</v>
      </c>
      <c r="J517" t="s">
        <v>113</v>
      </c>
      <c r="K517" t="s">
        <v>21</v>
      </c>
      <c r="L517">
        <v>2023</v>
      </c>
      <c r="M517" t="s">
        <v>1110</v>
      </c>
    </row>
    <row r="518" spans="1:13" x14ac:dyDescent="0.35">
      <c r="A518" t="s">
        <v>1405</v>
      </c>
      <c r="B518" t="s">
        <v>1218</v>
      </c>
      <c r="C518" t="s">
        <v>40</v>
      </c>
      <c r="D518" t="s">
        <v>41</v>
      </c>
      <c r="E518" t="s">
        <v>27</v>
      </c>
      <c r="F518" t="s">
        <v>379</v>
      </c>
      <c r="G518" t="s">
        <v>36</v>
      </c>
      <c r="H518">
        <v>518897</v>
      </c>
      <c r="I518">
        <v>30694.26</v>
      </c>
      <c r="J518" t="s">
        <v>59</v>
      </c>
      <c r="K518" t="s">
        <v>21</v>
      </c>
      <c r="L518">
        <v>2024</v>
      </c>
      <c r="M518" t="s">
        <v>1406</v>
      </c>
    </row>
    <row r="519" spans="1:13" x14ac:dyDescent="0.35">
      <c r="A519" t="s">
        <v>1407</v>
      </c>
      <c r="B519" t="s">
        <v>1408</v>
      </c>
      <c r="C519" t="s">
        <v>40</v>
      </c>
      <c r="D519" t="s">
        <v>66</v>
      </c>
      <c r="E519" t="s">
        <v>34</v>
      </c>
      <c r="F519" t="s">
        <v>67</v>
      </c>
      <c r="G519" t="s">
        <v>78</v>
      </c>
      <c r="H519">
        <v>85226</v>
      </c>
      <c r="I519">
        <v>9948.23</v>
      </c>
      <c r="J519" t="s">
        <v>29</v>
      </c>
      <c r="K519" t="s">
        <v>48</v>
      </c>
      <c r="L519">
        <v>2021</v>
      </c>
      <c r="M519" t="s">
        <v>1409</v>
      </c>
    </row>
    <row r="520" spans="1:13" x14ac:dyDescent="0.35">
      <c r="A520" t="s">
        <v>1410</v>
      </c>
      <c r="B520" t="s">
        <v>1403</v>
      </c>
      <c r="C520" t="s">
        <v>25</v>
      </c>
      <c r="D520" t="s">
        <v>149</v>
      </c>
      <c r="E520" t="s">
        <v>34</v>
      </c>
      <c r="F520" t="s">
        <v>35</v>
      </c>
      <c r="G520" t="s">
        <v>36</v>
      </c>
      <c r="H520">
        <v>199846</v>
      </c>
      <c r="I520">
        <v>11335.02</v>
      </c>
      <c r="J520" t="s">
        <v>113</v>
      </c>
      <c r="K520" t="s">
        <v>48</v>
      </c>
      <c r="L520">
        <v>2021</v>
      </c>
      <c r="M520" t="s">
        <v>1411</v>
      </c>
    </row>
    <row r="521" spans="1:13" x14ac:dyDescent="0.35">
      <c r="A521" t="s">
        <v>1412</v>
      </c>
      <c r="B521" t="s">
        <v>1413</v>
      </c>
      <c r="C521" t="s">
        <v>25</v>
      </c>
      <c r="D521" t="s">
        <v>149</v>
      </c>
      <c r="E521" t="s">
        <v>34</v>
      </c>
      <c r="F521" t="s">
        <v>101</v>
      </c>
      <c r="G521" t="s">
        <v>36</v>
      </c>
      <c r="H521">
        <v>199430</v>
      </c>
      <c r="I521">
        <v>32491.58</v>
      </c>
      <c r="J521" t="s">
        <v>79</v>
      </c>
      <c r="K521" t="s">
        <v>48</v>
      </c>
      <c r="L521">
        <v>2024</v>
      </c>
      <c r="M521" t="s">
        <v>1414</v>
      </c>
    </row>
    <row r="522" spans="1:13" x14ac:dyDescent="0.35">
      <c r="A522" t="s">
        <v>1415</v>
      </c>
      <c r="B522" t="s">
        <v>1416</v>
      </c>
      <c r="C522" t="s">
        <v>40</v>
      </c>
      <c r="D522" t="s">
        <v>96</v>
      </c>
      <c r="E522" t="s">
        <v>34</v>
      </c>
      <c r="F522" t="s">
        <v>101</v>
      </c>
      <c r="G522" t="s">
        <v>19</v>
      </c>
      <c r="H522">
        <v>20501</v>
      </c>
      <c r="I522">
        <v>3576.6</v>
      </c>
      <c r="J522" t="s">
        <v>212</v>
      </c>
      <c r="K522" t="s">
        <v>53</v>
      </c>
      <c r="L522">
        <v>2023</v>
      </c>
      <c r="M522" t="s">
        <v>905</v>
      </c>
    </row>
    <row r="523" spans="1:13" x14ac:dyDescent="0.35">
      <c r="A523" t="s">
        <v>1417</v>
      </c>
      <c r="B523" t="s">
        <v>1418</v>
      </c>
      <c r="C523" t="s">
        <v>25</v>
      </c>
      <c r="D523" t="s">
        <v>26</v>
      </c>
      <c r="E523" t="s">
        <v>17</v>
      </c>
      <c r="F523" t="s">
        <v>72</v>
      </c>
      <c r="G523" t="s">
        <v>68</v>
      </c>
      <c r="H523">
        <v>70286</v>
      </c>
      <c r="I523">
        <v>-53278.01</v>
      </c>
      <c r="J523" t="s">
        <v>47</v>
      </c>
      <c r="K523" t="s">
        <v>48</v>
      </c>
      <c r="L523">
        <v>2023</v>
      </c>
      <c r="M523" t="s">
        <v>1419</v>
      </c>
    </row>
    <row r="524" spans="1:13" x14ac:dyDescent="0.35">
      <c r="A524" t="s">
        <v>1420</v>
      </c>
      <c r="B524" t="s">
        <v>1421</v>
      </c>
      <c r="C524" t="s">
        <v>15</v>
      </c>
      <c r="D524" t="s">
        <v>57</v>
      </c>
      <c r="E524" t="s">
        <v>34</v>
      </c>
      <c r="F524" t="s">
        <v>35</v>
      </c>
      <c r="G524" t="s">
        <v>36</v>
      </c>
      <c r="H524">
        <v>297256</v>
      </c>
      <c r="I524">
        <v>24567.55</v>
      </c>
      <c r="J524" t="s">
        <v>59</v>
      </c>
      <c r="K524" t="s">
        <v>30</v>
      </c>
      <c r="L524">
        <v>2022</v>
      </c>
      <c r="M524" t="s">
        <v>1422</v>
      </c>
    </row>
    <row r="525" spans="1:13" x14ac:dyDescent="0.35">
      <c r="A525" t="s">
        <v>1423</v>
      </c>
      <c r="B525" t="s">
        <v>296</v>
      </c>
      <c r="C525" t="s">
        <v>25</v>
      </c>
      <c r="D525" t="s">
        <v>83</v>
      </c>
      <c r="E525" t="s">
        <v>17</v>
      </c>
      <c r="F525" t="s">
        <v>52</v>
      </c>
      <c r="G525" t="s">
        <v>36</v>
      </c>
      <c r="H525">
        <v>87130</v>
      </c>
      <c r="I525">
        <v>-82373.08</v>
      </c>
      <c r="J525" t="s">
        <v>113</v>
      </c>
      <c r="K525" t="s">
        <v>21</v>
      </c>
      <c r="L525">
        <v>2022</v>
      </c>
      <c r="M525" t="s">
        <v>22</v>
      </c>
    </row>
    <row r="526" spans="1:13" x14ac:dyDescent="0.35">
      <c r="A526" t="s">
        <v>1424</v>
      </c>
      <c r="B526" t="s">
        <v>1373</v>
      </c>
      <c r="C526" t="s">
        <v>40</v>
      </c>
      <c r="D526" t="s">
        <v>96</v>
      </c>
      <c r="E526" t="s">
        <v>17</v>
      </c>
      <c r="F526" t="s">
        <v>18</v>
      </c>
      <c r="G526" t="s">
        <v>19</v>
      </c>
      <c r="H526">
        <v>95558</v>
      </c>
      <c r="I526">
        <v>-92405.9</v>
      </c>
      <c r="J526" t="s">
        <v>20</v>
      </c>
      <c r="K526" t="s">
        <v>48</v>
      </c>
      <c r="L526">
        <v>2022</v>
      </c>
      <c r="M526" t="s">
        <v>580</v>
      </c>
    </row>
    <row r="527" spans="1:13" x14ac:dyDescent="0.35">
      <c r="A527" t="s">
        <v>1425</v>
      </c>
      <c r="B527" t="s">
        <v>987</v>
      </c>
      <c r="C527" t="s">
        <v>76</v>
      </c>
      <c r="D527" t="s">
        <v>171</v>
      </c>
      <c r="E527" t="s">
        <v>34</v>
      </c>
      <c r="F527" t="s">
        <v>35</v>
      </c>
      <c r="G527" t="s">
        <v>78</v>
      </c>
      <c r="H527">
        <v>107671</v>
      </c>
      <c r="I527">
        <v>20622.259999999998</v>
      </c>
      <c r="J527" t="s">
        <v>59</v>
      </c>
      <c r="K527" t="s">
        <v>48</v>
      </c>
      <c r="L527">
        <v>2025</v>
      </c>
      <c r="M527" t="s">
        <v>1426</v>
      </c>
    </row>
    <row r="528" spans="1:13" x14ac:dyDescent="0.35">
      <c r="A528" t="s">
        <v>1427</v>
      </c>
      <c r="B528" t="s">
        <v>1428</v>
      </c>
      <c r="C528" t="s">
        <v>40</v>
      </c>
      <c r="D528" t="s">
        <v>41</v>
      </c>
      <c r="E528" t="s">
        <v>17</v>
      </c>
      <c r="F528" t="s">
        <v>52</v>
      </c>
      <c r="G528" t="s">
        <v>68</v>
      </c>
      <c r="H528">
        <v>53824</v>
      </c>
      <c r="I528">
        <v>-49453.440000000002</v>
      </c>
      <c r="J528" t="s">
        <v>20</v>
      </c>
      <c r="K528" t="s">
        <v>53</v>
      </c>
      <c r="L528">
        <v>2024</v>
      </c>
      <c r="M528" t="s">
        <v>555</v>
      </c>
    </row>
    <row r="529" spans="1:13" x14ac:dyDescent="0.35">
      <c r="A529" t="s">
        <v>1429</v>
      </c>
      <c r="B529" t="s">
        <v>1430</v>
      </c>
      <c r="C529" t="s">
        <v>15</v>
      </c>
      <c r="D529" t="s">
        <v>16</v>
      </c>
      <c r="E529" t="s">
        <v>34</v>
      </c>
      <c r="F529" t="s">
        <v>35</v>
      </c>
      <c r="G529" t="s">
        <v>68</v>
      </c>
      <c r="H529">
        <v>86076</v>
      </c>
      <c r="I529">
        <v>20837.82</v>
      </c>
      <c r="J529" t="s">
        <v>212</v>
      </c>
      <c r="K529" t="s">
        <v>21</v>
      </c>
      <c r="L529">
        <v>2024</v>
      </c>
      <c r="M529" t="s">
        <v>889</v>
      </c>
    </row>
    <row r="530" spans="1:13" x14ac:dyDescent="0.35">
      <c r="A530" t="s">
        <v>1431</v>
      </c>
      <c r="B530" t="s">
        <v>692</v>
      </c>
      <c r="C530" t="s">
        <v>76</v>
      </c>
      <c r="D530" t="s">
        <v>77</v>
      </c>
      <c r="E530" t="s">
        <v>17</v>
      </c>
      <c r="F530" t="s">
        <v>18</v>
      </c>
      <c r="G530" t="s">
        <v>19</v>
      </c>
      <c r="H530">
        <v>157584</v>
      </c>
      <c r="I530">
        <v>-129190.44</v>
      </c>
      <c r="J530" t="s">
        <v>29</v>
      </c>
      <c r="K530" t="s">
        <v>53</v>
      </c>
      <c r="L530">
        <v>2022</v>
      </c>
      <c r="M530" t="s">
        <v>1432</v>
      </c>
    </row>
    <row r="531" spans="1:13" x14ac:dyDescent="0.35">
      <c r="A531" t="s">
        <v>1433</v>
      </c>
      <c r="B531" t="s">
        <v>51</v>
      </c>
      <c r="C531" t="s">
        <v>15</v>
      </c>
      <c r="D531" t="s">
        <v>46</v>
      </c>
      <c r="E531" t="s">
        <v>34</v>
      </c>
      <c r="F531" t="s">
        <v>101</v>
      </c>
      <c r="G531" t="s">
        <v>68</v>
      </c>
      <c r="H531">
        <v>215884</v>
      </c>
      <c r="I531">
        <v>32561.56</v>
      </c>
      <c r="J531" t="s">
        <v>29</v>
      </c>
      <c r="K531" t="s">
        <v>53</v>
      </c>
      <c r="L531">
        <v>2025</v>
      </c>
      <c r="M531" t="s">
        <v>820</v>
      </c>
    </row>
    <row r="532" spans="1:13" x14ac:dyDescent="0.35">
      <c r="A532" t="s">
        <v>1434</v>
      </c>
      <c r="B532" t="s">
        <v>1435</v>
      </c>
      <c r="C532" t="s">
        <v>25</v>
      </c>
      <c r="D532" t="s">
        <v>83</v>
      </c>
      <c r="E532" t="s">
        <v>34</v>
      </c>
      <c r="F532" t="s">
        <v>101</v>
      </c>
      <c r="G532" t="s">
        <v>36</v>
      </c>
      <c r="H532">
        <v>214571</v>
      </c>
      <c r="I532">
        <v>25521.84</v>
      </c>
      <c r="J532" t="s">
        <v>113</v>
      </c>
      <c r="K532" t="s">
        <v>48</v>
      </c>
      <c r="L532">
        <v>2022</v>
      </c>
      <c r="M532" t="s">
        <v>338</v>
      </c>
    </row>
    <row r="533" spans="1:13" x14ac:dyDescent="0.35">
      <c r="A533" t="s">
        <v>1436</v>
      </c>
      <c r="B533" t="s">
        <v>1437</v>
      </c>
      <c r="C533" t="s">
        <v>40</v>
      </c>
      <c r="D533" t="s">
        <v>41</v>
      </c>
      <c r="E533" t="s">
        <v>17</v>
      </c>
      <c r="F533" t="s">
        <v>112</v>
      </c>
      <c r="G533" t="s">
        <v>19</v>
      </c>
      <c r="H533">
        <v>19422</v>
      </c>
      <c r="I533">
        <v>-18735.77</v>
      </c>
      <c r="J533" t="s">
        <v>20</v>
      </c>
      <c r="K533" t="s">
        <v>53</v>
      </c>
      <c r="L533">
        <v>2024</v>
      </c>
      <c r="M533" t="s">
        <v>1438</v>
      </c>
    </row>
    <row r="534" spans="1:13" x14ac:dyDescent="0.35">
      <c r="A534" t="s">
        <v>1439</v>
      </c>
      <c r="B534" t="s">
        <v>1440</v>
      </c>
      <c r="C534" t="s">
        <v>40</v>
      </c>
      <c r="D534" t="s">
        <v>41</v>
      </c>
      <c r="E534" t="s">
        <v>34</v>
      </c>
      <c r="F534" t="s">
        <v>101</v>
      </c>
      <c r="G534" t="s">
        <v>19</v>
      </c>
      <c r="H534">
        <v>95391</v>
      </c>
      <c r="I534">
        <v>19284.669999999998</v>
      </c>
      <c r="J534" t="s">
        <v>20</v>
      </c>
      <c r="K534" t="s">
        <v>53</v>
      </c>
      <c r="L534">
        <v>2022</v>
      </c>
      <c r="M534" t="s">
        <v>735</v>
      </c>
    </row>
    <row r="535" spans="1:13" x14ac:dyDescent="0.35">
      <c r="A535" t="s">
        <v>1441</v>
      </c>
      <c r="B535" t="s">
        <v>1442</v>
      </c>
      <c r="C535" t="s">
        <v>40</v>
      </c>
      <c r="D535" t="s">
        <v>41</v>
      </c>
      <c r="E535" t="s">
        <v>34</v>
      </c>
      <c r="F535" t="s">
        <v>58</v>
      </c>
      <c r="G535" t="s">
        <v>36</v>
      </c>
      <c r="H535">
        <v>123328</v>
      </c>
      <c r="I535">
        <v>11887.3</v>
      </c>
      <c r="J535" t="s">
        <v>20</v>
      </c>
      <c r="K535" t="s">
        <v>53</v>
      </c>
      <c r="L535">
        <v>2024</v>
      </c>
      <c r="M535" t="s">
        <v>782</v>
      </c>
    </row>
    <row r="536" spans="1:13" x14ac:dyDescent="0.35">
      <c r="A536" t="s">
        <v>1443</v>
      </c>
      <c r="B536" t="s">
        <v>1444</v>
      </c>
      <c r="C536" t="s">
        <v>15</v>
      </c>
      <c r="D536" t="s">
        <v>57</v>
      </c>
      <c r="E536" t="s">
        <v>17</v>
      </c>
      <c r="F536" t="s">
        <v>72</v>
      </c>
      <c r="G536" t="s">
        <v>78</v>
      </c>
      <c r="H536">
        <v>21202</v>
      </c>
      <c r="I536">
        <v>-21022.85</v>
      </c>
      <c r="J536" t="s">
        <v>113</v>
      </c>
      <c r="K536" t="s">
        <v>30</v>
      </c>
      <c r="L536">
        <v>2021</v>
      </c>
      <c r="M536" t="s">
        <v>1445</v>
      </c>
    </row>
    <row r="537" spans="1:13" x14ac:dyDescent="0.35">
      <c r="A537" t="s">
        <v>1446</v>
      </c>
      <c r="B537" t="s">
        <v>1447</v>
      </c>
      <c r="C537" t="s">
        <v>76</v>
      </c>
      <c r="D537" t="s">
        <v>171</v>
      </c>
      <c r="E537" t="s">
        <v>34</v>
      </c>
      <c r="F537" t="s">
        <v>101</v>
      </c>
      <c r="G537" t="s">
        <v>19</v>
      </c>
      <c r="H537">
        <v>196301</v>
      </c>
      <c r="I537">
        <v>30731.37</v>
      </c>
      <c r="J537" t="s">
        <v>47</v>
      </c>
      <c r="K537" t="s">
        <v>53</v>
      </c>
      <c r="L537">
        <v>2022</v>
      </c>
      <c r="M537" t="s">
        <v>877</v>
      </c>
    </row>
    <row r="538" spans="1:13" x14ac:dyDescent="0.35">
      <c r="A538" t="s">
        <v>1448</v>
      </c>
      <c r="B538" t="s">
        <v>1449</v>
      </c>
      <c r="C538" t="s">
        <v>25</v>
      </c>
      <c r="D538" t="s">
        <v>83</v>
      </c>
      <c r="E538" t="s">
        <v>17</v>
      </c>
      <c r="F538" t="s">
        <v>112</v>
      </c>
      <c r="G538" t="s">
        <v>19</v>
      </c>
      <c r="H538">
        <v>100313</v>
      </c>
      <c r="I538">
        <v>-96382.67</v>
      </c>
      <c r="J538" t="s">
        <v>212</v>
      </c>
      <c r="K538" t="s">
        <v>48</v>
      </c>
      <c r="L538">
        <v>2022</v>
      </c>
      <c r="M538" t="s">
        <v>1450</v>
      </c>
    </row>
    <row r="539" spans="1:13" x14ac:dyDescent="0.35">
      <c r="A539" t="s">
        <v>1451</v>
      </c>
      <c r="B539" t="s">
        <v>1452</v>
      </c>
      <c r="C539" t="s">
        <v>40</v>
      </c>
      <c r="D539" t="s">
        <v>41</v>
      </c>
      <c r="E539" t="s">
        <v>27</v>
      </c>
      <c r="F539" t="s">
        <v>28</v>
      </c>
      <c r="G539" t="s">
        <v>36</v>
      </c>
      <c r="H539">
        <v>350940</v>
      </c>
      <c r="I539">
        <v>36482.6</v>
      </c>
      <c r="J539" t="s">
        <v>212</v>
      </c>
      <c r="K539" t="s">
        <v>30</v>
      </c>
      <c r="L539">
        <v>2025</v>
      </c>
      <c r="M539" t="s">
        <v>1453</v>
      </c>
    </row>
    <row r="540" spans="1:13" x14ac:dyDescent="0.35">
      <c r="A540" t="s">
        <v>1454</v>
      </c>
      <c r="B540" t="s">
        <v>1455</v>
      </c>
      <c r="C540" t="s">
        <v>40</v>
      </c>
      <c r="D540" t="s">
        <v>66</v>
      </c>
      <c r="E540" t="s">
        <v>27</v>
      </c>
      <c r="F540" t="s">
        <v>379</v>
      </c>
      <c r="G540" t="s">
        <v>36</v>
      </c>
      <c r="H540">
        <v>573469</v>
      </c>
      <c r="I540">
        <v>84196.14</v>
      </c>
      <c r="J540" t="s">
        <v>79</v>
      </c>
      <c r="K540" t="s">
        <v>48</v>
      </c>
      <c r="L540">
        <v>2022</v>
      </c>
      <c r="M540" t="s">
        <v>1257</v>
      </c>
    </row>
    <row r="541" spans="1:13" x14ac:dyDescent="0.35">
      <c r="A541" t="s">
        <v>1456</v>
      </c>
      <c r="B541" t="s">
        <v>1457</v>
      </c>
      <c r="C541" t="s">
        <v>40</v>
      </c>
      <c r="D541" t="s">
        <v>66</v>
      </c>
      <c r="E541" t="s">
        <v>17</v>
      </c>
      <c r="F541" t="s">
        <v>18</v>
      </c>
      <c r="G541" t="s">
        <v>36</v>
      </c>
      <c r="H541">
        <v>31027</v>
      </c>
      <c r="I541">
        <v>-29966.9</v>
      </c>
      <c r="J541" t="s">
        <v>59</v>
      </c>
      <c r="K541" t="s">
        <v>48</v>
      </c>
      <c r="L541">
        <v>2023</v>
      </c>
      <c r="M541" t="s">
        <v>1458</v>
      </c>
    </row>
    <row r="542" spans="1:13" x14ac:dyDescent="0.35">
      <c r="A542" t="s">
        <v>1459</v>
      </c>
      <c r="B542" t="s">
        <v>1460</v>
      </c>
      <c r="C542" t="s">
        <v>15</v>
      </c>
      <c r="D542" t="s">
        <v>16</v>
      </c>
      <c r="E542" t="s">
        <v>34</v>
      </c>
      <c r="F542" t="s">
        <v>35</v>
      </c>
      <c r="G542" t="s">
        <v>19</v>
      </c>
      <c r="H542">
        <v>90650</v>
      </c>
      <c r="I542">
        <v>21139.33</v>
      </c>
      <c r="J542" t="s">
        <v>59</v>
      </c>
      <c r="K542" t="s">
        <v>30</v>
      </c>
      <c r="L542">
        <v>2023</v>
      </c>
      <c r="M542" t="s">
        <v>1461</v>
      </c>
    </row>
    <row r="543" spans="1:13" x14ac:dyDescent="0.35">
      <c r="A543" t="s">
        <v>1462</v>
      </c>
      <c r="B543" t="s">
        <v>1463</v>
      </c>
      <c r="C543" t="s">
        <v>25</v>
      </c>
      <c r="D543" t="s">
        <v>83</v>
      </c>
      <c r="E543" t="s">
        <v>34</v>
      </c>
      <c r="F543" t="s">
        <v>67</v>
      </c>
      <c r="G543" t="s">
        <v>19</v>
      </c>
      <c r="H543">
        <v>277113</v>
      </c>
      <c r="I543">
        <v>42309.83</v>
      </c>
      <c r="J543" t="s">
        <v>113</v>
      </c>
      <c r="K543" t="s">
        <v>21</v>
      </c>
      <c r="L543">
        <v>2022</v>
      </c>
      <c r="M543" t="s">
        <v>1464</v>
      </c>
    </row>
    <row r="544" spans="1:13" x14ac:dyDescent="0.35">
      <c r="A544" t="s">
        <v>1465</v>
      </c>
      <c r="B544" t="s">
        <v>1184</v>
      </c>
      <c r="C544" t="s">
        <v>25</v>
      </c>
      <c r="D544" t="s">
        <v>83</v>
      </c>
      <c r="E544" t="s">
        <v>17</v>
      </c>
      <c r="F544" t="s">
        <v>42</v>
      </c>
      <c r="G544" t="s">
        <v>19</v>
      </c>
      <c r="H544">
        <v>178873</v>
      </c>
      <c r="I544">
        <v>-176749.52</v>
      </c>
      <c r="J544" t="s">
        <v>97</v>
      </c>
      <c r="K544" t="s">
        <v>48</v>
      </c>
      <c r="L544">
        <v>2022</v>
      </c>
      <c r="M544" t="s">
        <v>1466</v>
      </c>
    </row>
    <row r="545" spans="1:13" x14ac:dyDescent="0.35">
      <c r="A545" t="s">
        <v>1467</v>
      </c>
      <c r="B545" t="s">
        <v>1468</v>
      </c>
      <c r="C545" t="s">
        <v>25</v>
      </c>
      <c r="D545" t="s">
        <v>26</v>
      </c>
      <c r="E545" t="s">
        <v>138</v>
      </c>
      <c r="F545" t="s">
        <v>208</v>
      </c>
      <c r="G545" t="s">
        <v>36</v>
      </c>
      <c r="H545">
        <v>29759</v>
      </c>
      <c r="I545">
        <v>-3111.02</v>
      </c>
      <c r="J545" t="s">
        <v>20</v>
      </c>
      <c r="K545" t="s">
        <v>53</v>
      </c>
      <c r="L545">
        <v>2022</v>
      </c>
      <c r="M545" t="s">
        <v>1469</v>
      </c>
    </row>
    <row r="546" spans="1:13" x14ac:dyDescent="0.35">
      <c r="A546" t="s">
        <v>1470</v>
      </c>
      <c r="B546" t="s">
        <v>1471</v>
      </c>
      <c r="C546" t="s">
        <v>76</v>
      </c>
      <c r="D546" t="s">
        <v>77</v>
      </c>
      <c r="E546" t="s">
        <v>34</v>
      </c>
      <c r="F546" t="s">
        <v>67</v>
      </c>
      <c r="G546" t="s">
        <v>36</v>
      </c>
      <c r="H546">
        <v>62812</v>
      </c>
      <c r="I546">
        <v>9899.5</v>
      </c>
      <c r="J546" t="s">
        <v>20</v>
      </c>
      <c r="K546" t="s">
        <v>30</v>
      </c>
      <c r="L546">
        <v>2021</v>
      </c>
      <c r="M546" t="s">
        <v>1145</v>
      </c>
    </row>
    <row r="547" spans="1:13" x14ac:dyDescent="0.35">
      <c r="A547" t="s">
        <v>1472</v>
      </c>
      <c r="B547" t="s">
        <v>1473</v>
      </c>
      <c r="C547" t="s">
        <v>25</v>
      </c>
      <c r="D547" t="s">
        <v>149</v>
      </c>
      <c r="E547" t="s">
        <v>34</v>
      </c>
      <c r="F547" t="s">
        <v>67</v>
      </c>
      <c r="G547" t="s">
        <v>19</v>
      </c>
      <c r="H547">
        <v>25391</v>
      </c>
      <c r="I547">
        <v>4279.47</v>
      </c>
      <c r="J547" t="s">
        <v>20</v>
      </c>
      <c r="K547" t="s">
        <v>48</v>
      </c>
      <c r="L547">
        <v>2025</v>
      </c>
      <c r="M547" t="s">
        <v>1474</v>
      </c>
    </row>
    <row r="548" spans="1:13" x14ac:dyDescent="0.35">
      <c r="A548" t="s">
        <v>1475</v>
      </c>
      <c r="B548" t="s">
        <v>1418</v>
      </c>
      <c r="C548" t="s">
        <v>25</v>
      </c>
      <c r="D548" t="s">
        <v>83</v>
      </c>
      <c r="E548" t="s">
        <v>17</v>
      </c>
      <c r="F548" t="s">
        <v>52</v>
      </c>
      <c r="G548" t="s">
        <v>19</v>
      </c>
      <c r="H548">
        <v>86371</v>
      </c>
      <c r="I548">
        <v>-75871.850000000006</v>
      </c>
      <c r="J548" t="s">
        <v>79</v>
      </c>
      <c r="K548" t="s">
        <v>48</v>
      </c>
      <c r="L548">
        <v>2023</v>
      </c>
      <c r="M548" t="s">
        <v>347</v>
      </c>
    </row>
    <row r="549" spans="1:13" x14ac:dyDescent="0.35">
      <c r="A549" t="s">
        <v>1476</v>
      </c>
      <c r="B549" t="s">
        <v>1477</v>
      </c>
      <c r="C549" t="s">
        <v>15</v>
      </c>
      <c r="D549" t="s">
        <v>16</v>
      </c>
      <c r="E549" t="s">
        <v>27</v>
      </c>
      <c r="F549" t="s">
        <v>28</v>
      </c>
      <c r="G549" t="s">
        <v>36</v>
      </c>
      <c r="H549">
        <v>753493</v>
      </c>
      <c r="I549">
        <v>-25429.38</v>
      </c>
      <c r="J549" t="s">
        <v>29</v>
      </c>
      <c r="K549" t="s">
        <v>30</v>
      </c>
      <c r="L549">
        <v>2021</v>
      </c>
      <c r="M549" t="s">
        <v>1478</v>
      </c>
    </row>
    <row r="550" spans="1:13" x14ac:dyDescent="0.35">
      <c r="A550" t="s">
        <v>1479</v>
      </c>
      <c r="B550" t="s">
        <v>1480</v>
      </c>
      <c r="C550" t="s">
        <v>25</v>
      </c>
      <c r="D550" t="s">
        <v>26</v>
      </c>
      <c r="E550" t="s">
        <v>17</v>
      </c>
      <c r="F550" t="s">
        <v>72</v>
      </c>
      <c r="G550" t="s">
        <v>19</v>
      </c>
      <c r="H550">
        <v>160631</v>
      </c>
      <c r="I550">
        <v>-125414.44</v>
      </c>
      <c r="J550" t="s">
        <v>212</v>
      </c>
      <c r="K550" t="s">
        <v>30</v>
      </c>
      <c r="L550">
        <v>2025</v>
      </c>
      <c r="M550" t="s">
        <v>1422</v>
      </c>
    </row>
    <row r="551" spans="1:13" x14ac:dyDescent="0.35">
      <c r="A551" t="s">
        <v>1481</v>
      </c>
      <c r="B551" t="s">
        <v>1482</v>
      </c>
      <c r="C551" t="s">
        <v>25</v>
      </c>
      <c r="D551" t="s">
        <v>26</v>
      </c>
      <c r="E551" t="s">
        <v>34</v>
      </c>
      <c r="F551" t="s">
        <v>58</v>
      </c>
      <c r="G551" t="s">
        <v>78</v>
      </c>
      <c r="H551">
        <v>144888</v>
      </c>
      <c r="I551">
        <v>25796.79</v>
      </c>
      <c r="J551" t="s">
        <v>20</v>
      </c>
      <c r="K551" t="s">
        <v>21</v>
      </c>
      <c r="L551">
        <v>2022</v>
      </c>
      <c r="M551" t="s">
        <v>1483</v>
      </c>
    </row>
    <row r="552" spans="1:13" x14ac:dyDescent="0.35">
      <c r="A552" t="s">
        <v>1484</v>
      </c>
      <c r="B552" t="s">
        <v>1485</v>
      </c>
      <c r="C552" t="s">
        <v>76</v>
      </c>
      <c r="D552" t="s">
        <v>77</v>
      </c>
      <c r="E552" t="s">
        <v>34</v>
      </c>
      <c r="F552" t="s">
        <v>58</v>
      </c>
      <c r="G552" t="s">
        <v>36</v>
      </c>
      <c r="H552">
        <v>118291</v>
      </c>
      <c r="I552">
        <v>21613.23</v>
      </c>
      <c r="J552" t="s">
        <v>97</v>
      </c>
      <c r="K552" t="s">
        <v>21</v>
      </c>
      <c r="L552">
        <v>2021</v>
      </c>
      <c r="M552" t="s">
        <v>1486</v>
      </c>
    </row>
    <row r="553" spans="1:13" x14ac:dyDescent="0.35">
      <c r="A553" t="s">
        <v>1487</v>
      </c>
      <c r="B553" t="s">
        <v>1488</v>
      </c>
      <c r="C553" t="s">
        <v>25</v>
      </c>
      <c r="D553" t="s">
        <v>26</v>
      </c>
      <c r="E553" t="s">
        <v>34</v>
      </c>
      <c r="F553" t="s">
        <v>58</v>
      </c>
      <c r="G553" t="s">
        <v>36</v>
      </c>
      <c r="H553">
        <v>242200</v>
      </c>
      <c r="I553">
        <v>35334.22</v>
      </c>
      <c r="J553" t="s">
        <v>113</v>
      </c>
      <c r="K553" t="s">
        <v>53</v>
      </c>
      <c r="L553">
        <v>2021</v>
      </c>
      <c r="M553" t="s">
        <v>1346</v>
      </c>
    </row>
    <row r="554" spans="1:13" x14ac:dyDescent="0.35">
      <c r="A554" t="s">
        <v>1489</v>
      </c>
      <c r="B554" t="s">
        <v>1490</v>
      </c>
      <c r="C554" t="s">
        <v>76</v>
      </c>
      <c r="D554" t="s">
        <v>171</v>
      </c>
      <c r="E554" t="s">
        <v>17</v>
      </c>
      <c r="F554" t="s">
        <v>42</v>
      </c>
      <c r="G554" t="s">
        <v>36</v>
      </c>
      <c r="H554">
        <v>106217</v>
      </c>
      <c r="I554">
        <v>-95125.93</v>
      </c>
      <c r="J554" t="s">
        <v>29</v>
      </c>
      <c r="K554" t="s">
        <v>53</v>
      </c>
      <c r="L554">
        <v>2022</v>
      </c>
      <c r="M554" t="s">
        <v>1491</v>
      </c>
    </row>
    <row r="555" spans="1:13" x14ac:dyDescent="0.35">
      <c r="A555" t="s">
        <v>1492</v>
      </c>
      <c r="B555" t="s">
        <v>1493</v>
      </c>
      <c r="C555" t="s">
        <v>40</v>
      </c>
      <c r="D555" t="s">
        <v>96</v>
      </c>
      <c r="E555" t="s">
        <v>34</v>
      </c>
      <c r="F555" t="s">
        <v>35</v>
      </c>
      <c r="G555" t="s">
        <v>36</v>
      </c>
      <c r="H555">
        <v>242936</v>
      </c>
      <c r="I555">
        <v>58880.05</v>
      </c>
      <c r="J555" t="s">
        <v>29</v>
      </c>
      <c r="K555" t="s">
        <v>48</v>
      </c>
      <c r="L555">
        <v>2021</v>
      </c>
      <c r="M555" t="s">
        <v>1494</v>
      </c>
    </row>
    <row r="556" spans="1:13" x14ac:dyDescent="0.35">
      <c r="A556" t="s">
        <v>1495</v>
      </c>
      <c r="B556" t="s">
        <v>1496</v>
      </c>
      <c r="C556" t="s">
        <v>76</v>
      </c>
      <c r="D556" t="s">
        <v>105</v>
      </c>
      <c r="E556" t="s">
        <v>34</v>
      </c>
      <c r="F556" t="s">
        <v>58</v>
      </c>
      <c r="G556" t="s">
        <v>36</v>
      </c>
      <c r="H556">
        <v>134352</v>
      </c>
      <c r="I556">
        <v>33030.42</v>
      </c>
      <c r="J556" t="s">
        <v>29</v>
      </c>
      <c r="K556" t="s">
        <v>30</v>
      </c>
      <c r="L556">
        <v>2023</v>
      </c>
      <c r="M556" t="s">
        <v>811</v>
      </c>
    </row>
    <row r="557" spans="1:13" x14ac:dyDescent="0.35">
      <c r="A557" t="s">
        <v>1497</v>
      </c>
      <c r="B557" t="s">
        <v>1498</v>
      </c>
      <c r="C557" t="s">
        <v>15</v>
      </c>
      <c r="D557" t="s">
        <v>57</v>
      </c>
      <c r="E557" t="s">
        <v>34</v>
      </c>
      <c r="F557" t="s">
        <v>58</v>
      </c>
      <c r="G557" t="s">
        <v>36</v>
      </c>
      <c r="H557">
        <v>34790</v>
      </c>
      <c r="I557">
        <v>4907.68</v>
      </c>
      <c r="J557" t="s">
        <v>59</v>
      </c>
      <c r="K557" t="s">
        <v>30</v>
      </c>
      <c r="L557">
        <v>2024</v>
      </c>
      <c r="M557" t="s">
        <v>1499</v>
      </c>
    </row>
    <row r="558" spans="1:13" x14ac:dyDescent="0.35">
      <c r="A558" t="s">
        <v>1500</v>
      </c>
      <c r="B558" t="s">
        <v>1501</v>
      </c>
      <c r="C558" t="s">
        <v>15</v>
      </c>
      <c r="D558" t="s">
        <v>16</v>
      </c>
      <c r="E558" t="s">
        <v>34</v>
      </c>
      <c r="F558" t="s">
        <v>101</v>
      </c>
      <c r="G558" t="s">
        <v>19</v>
      </c>
      <c r="H558">
        <v>146183</v>
      </c>
      <c r="I558">
        <v>29898.94</v>
      </c>
      <c r="J558" t="s">
        <v>47</v>
      </c>
      <c r="K558" t="s">
        <v>21</v>
      </c>
      <c r="L558">
        <v>2022</v>
      </c>
      <c r="M558" t="s">
        <v>1145</v>
      </c>
    </row>
    <row r="559" spans="1:13" x14ac:dyDescent="0.35">
      <c r="A559" t="s">
        <v>1502</v>
      </c>
      <c r="B559" t="s">
        <v>1028</v>
      </c>
      <c r="C559" t="s">
        <v>25</v>
      </c>
      <c r="D559" t="s">
        <v>83</v>
      </c>
      <c r="E559" t="s">
        <v>17</v>
      </c>
      <c r="F559" t="s">
        <v>112</v>
      </c>
      <c r="G559" t="s">
        <v>78</v>
      </c>
      <c r="H559">
        <v>13908</v>
      </c>
      <c r="I559">
        <v>-11286.97</v>
      </c>
      <c r="J559" t="s">
        <v>113</v>
      </c>
      <c r="K559" t="s">
        <v>21</v>
      </c>
      <c r="L559">
        <v>2025</v>
      </c>
      <c r="M559" t="s">
        <v>1503</v>
      </c>
    </row>
    <row r="560" spans="1:13" x14ac:dyDescent="0.35">
      <c r="A560" t="s">
        <v>1504</v>
      </c>
      <c r="B560" t="s">
        <v>1505</v>
      </c>
      <c r="C560" t="s">
        <v>15</v>
      </c>
      <c r="D560" t="s">
        <v>57</v>
      </c>
      <c r="E560" t="s">
        <v>34</v>
      </c>
      <c r="F560" t="s">
        <v>35</v>
      </c>
      <c r="G560" t="s">
        <v>68</v>
      </c>
      <c r="H560">
        <v>236175</v>
      </c>
      <c r="I560">
        <v>53956.23</v>
      </c>
      <c r="J560" t="s">
        <v>47</v>
      </c>
      <c r="K560" t="s">
        <v>30</v>
      </c>
      <c r="L560">
        <v>2023</v>
      </c>
      <c r="M560" t="s">
        <v>69</v>
      </c>
    </row>
    <row r="561" spans="1:13" x14ac:dyDescent="0.35">
      <c r="A561" t="s">
        <v>1506</v>
      </c>
      <c r="B561" t="s">
        <v>1507</v>
      </c>
      <c r="C561" t="s">
        <v>25</v>
      </c>
      <c r="D561" t="s">
        <v>149</v>
      </c>
      <c r="E561" t="s">
        <v>34</v>
      </c>
      <c r="F561" t="s">
        <v>67</v>
      </c>
      <c r="G561" t="s">
        <v>68</v>
      </c>
      <c r="H561">
        <v>231719</v>
      </c>
      <c r="I561">
        <v>19468.169999999998</v>
      </c>
      <c r="J561" t="s">
        <v>59</v>
      </c>
      <c r="K561" t="s">
        <v>48</v>
      </c>
      <c r="L561">
        <v>2024</v>
      </c>
      <c r="M561" t="s">
        <v>1508</v>
      </c>
    </row>
    <row r="562" spans="1:13" x14ac:dyDescent="0.35">
      <c r="A562" t="s">
        <v>1509</v>
      </c>
      <c r="B562" t="s">
        <v>1510</v>
      </c>
      <c r="C562" t="s">
        <v>15</v>
      </c>
      <c r="D562" t="s">
        <v>57</v>
      </c>
      <c r="E562" t="s">
        <v>34</v>
      </c>
      <c r="F562" t="s">
        <v>67</v>
      </c>
      <c r="G562" t="s">
        <v>68</v>
      </c>
      <c r="H562">
        <v>158832</v>
      </c>
      <c r="I562">
        <v>32058.92</v>
      </c>
      <c r="J562" t="s">
        <v>79</v>
      </c>
      <c r="K562" t="s">
        <v>21</v>
      </c>
      <c r="L562">
        <v>2021</v>
      </c>
      <c r="M562" t="s">
        <v>1511</v>
      </c>
    </row>
    <row r="563" spans="1:13" x14ac:dyDescent="0.35">
      <c r="A563" t="s">
        <v>1512</v>
      </c>
      <c r="B563" t="s">
        <v>1513</v>
      </c>
      <c r="C563" t="s">
        <v>40</v>
      </c>
      <c r="D563" t="s">
        <v>96</v>
      </c>
      <c r="E563" t="s">
        <v>34</v>
      </c>
      <c r="F563" t="s">
        <v>101</v>
      </c>
      <c r="G563" t="s">
        <v>19</v>
      </c>
      <c r="H563">
        <v>22813</v>
      </c>
      <c r="I563">
        <v>4836.91</v>
      </c>
      <c r="J563" t="s">
        <v>212</v>
      </c>
      <c r="K563" t="s">
        <v>21</v>
      </c>
      <c r="L563">
        <v>2024</v>
      </c>
      <c r="M563" t="s">
        <v>1514</v>
      </c>
    </row>
    <row r="564" spans="1:13" x14ac:dyDescent="0.35">
      <c r="A564" t="s">
        <v>1515</v>
      </c>
      <c r="B564" t="s">
        <v>1516</v>
      </c>
      <c r="C564" t="s">
        <v>40</v>
      </c>
      <c r="D564" t="s">
        <v>66</v>
      </c>
      <c r="E564" t="s">
        <v>138</v>
      </c>
      <c r="F564" t="s">
        <v>139</v>
      </c>
      <c r="G564" t="s">
        <v>68</v>
      </c>
      <c r="H564">
        <v>410358</v>
      </c>
      <c r="I564">
        <v>40672.68</v>
      </c>
      <c r="J564" t="s">
        <v>29</v>
      </c>
      <c r="K564" t="s">
        <v>48</v>
      </c>
      <c r="L564">
        <v>2021</v>
      </c>
      <c r="M564" t="s">
        <v>1438</v>
      </c>
    </row>
    <row r="565" spans="1:13" x14ac:dyDescent="0.35">
      <c r="A565" t="s">
        <v>1517</v>
      </c>
      <c r="B565" t="s">
        <v>1518</v>
      </c>
      <c r="C565" t="s">
        <v>40</v>
      </c>
      <c r="D565" t="s">
        <v>66</v>
      </c>
      <c r="E565" t="s">
        <v>34</v>
      </c>
      <c r="F565" t="s">
        <v>67</v>
      </c>
      <c r="G565" t="s">
        <v>78</v>
      </c>
      <c r="H565">
        <v>113624</v>
      </c>
      <c r="I565">
        <v>5938.61</v>
      </c>
      <c r="J565" t="s">
        <v>47</v>
      </c>
      <c r="K565" t="s">
        <v>48</v>
      </c>
      <c r="L565">
        <v>2021</v>
      </c>
      <c r="M565" t="s">
        <v>926</v>
      </c>
    </row>
    <row r="566" spans="1:13" x14ac:dyDescent="0.35">
      <c r="A566" t="s">
        <v>1519</v>
      </c>
      <c r="B566" t="s">
        <v>230</v>
      </c>
      <c r="C566" t="s">
        <v>15</v>
      </c>
      <c r="D566" t="s">
        <v>57</v>
      </c>
      <c r="E566" t="s">
        <v>34</v>
      </c>
      <c r="F566" t="s">
        <v>101</v>
      </c>
      <c r="G566" t="s">
        <v>78</v>
      </c>
      <c r="H566">
        <v>67768</v>
      </c>
      <c r="I566">
        <v>12686.97</v>
      </c>
      <c r="J566" t="s">
        <v>29</v>
      </c>
      <c r="K566" t="s">
        <v>21</v>
      </c>
      <c r="L566">
        <v>2023</v>
      </c>
      <c r="M566" t="s">
        <v>1520</v>
      </c>
    </row>
    <row r="567" spans="1:13" x14ac:dyDescent="0.35">
      <c r="A567" t="s">
        <v>1521</v>
      </c>
      <c r="B567" t="s">
        <v>1522</v>
      </c>
      <c r="C567" t="s">
        <v>15</v>
      </c>
      <c r="D567" t="s">
        <v>46</v>
      </c>
      <c r="E567" t="s">
        <v>17</v>
      </c>
      <c r="F567" t="s">
        <v>72</v>
      </c>
      <c r="G567" t="s">
        <v>68</v>
      </c>
      <c r="H567">
        <v>124108</v>
      </c>
      <c r="I567">
        <v>-98180.58</v>
      </c>
      <c r="J567" t="s">
        <v>79</v>
      </c>
      <c r="K567" t="s">
        <v>53</v>
      </c>
      <c r="L567">
        <v>2025</v>
      </c>
      <c r="M567" t="s">
        <v>1523</v>
      </c>
    </row>
    <row r="568" spans="1:13" x14ac:dyDescent="0.35">
      <c r="A568" t="s">
        <v>1524</v>
      </c>
      <c r="B568" t="s">
        <v>1525</v>
      </c>
      <c r="C568" t="s">
        <v>40</v>
      </c>
      <c r="D568" t="s">
        <v>41</v>
      </c>
      <c r="E568" t="s">
        <v>34</v>
      </c>
      <c r="F568" t="s">
        <v>101</v>
      </c>
      <c r="G568" t="s">
        <v>36</v>
      </c>
      <c r="H568">
        <v>172602</v>
      </c>
      <c r="I568">
        <v>10205.19</v>
      </c>
      <c r="J568" t="s">
        <v>59</v>
      </c>
      <c r="K568" t="s">
        <v>53</v>
      </c>
      <c r="L568">
        <v>2025</v>
      </c>
      <c r="M568" t="s">
        <v>1526</v>
      </c>
    </row>
    <row r="569" spans="1:13" x14ac:dyDescent="0.35">
      <c r="A569" t="s">
        <v>1527</v>
      </c>
      <c r="B569" t="s">
        <v>1528</v>
      </c>
      <c r="C569" t="s">
        <v>40</v>
      </c>
      <c r="D569" t="s">
        <v>66</v>
      </c>
      <c r="E569" t="s">
        <v>17</v>
      </c>
      <c r="F569" t="s">
        <v>42</v>
      </c>
      <c r="G569" t="s">
        <v>78</v>
      </c>
      <c r="H569">
        <v>78699</v>
      </c>
      <c r="I569">
        <v>-70921.279999999999</v>
      </c>
      <c r="J569" t="s">
        <v>59</v>
      </c>
      <c r="K569" t="s">
        <v>30</v>
      </c>
      <c r="L569">
        <v>2024</v>
      </c>
      <c r="M569" t="s">
        <v>1453</v>
      </c>
    </row>
    <row r="570" spans="1:13" x14ac:dyDescent="0.35">
      <c r="A570" t="s">
        <v>1529</v>
      </c>
      <c r="B570" t="s">
        <v>849</v>
      </c>
      <c r="C570" t="s">
        <v>25</v>
      </c>
      <c r="D570" t="s">
        <v>26</v>
      </c>
      <c r="E570" t="s">
        <v>17</v>
      </c>
      <c r="F570" t="s">
        <v>52</v>
      </c>
      <c r="G570" t="s">
        <v>78</v>
      </c>
      <c r="H570">
        <v>68207</v>
      </c>
      <c r="I570">
        <v>-54872.77</v>
      </c>
      <c r="J570" t="s">
        <v>79</v>
      </c>
      <c r="K570" t="s">
        <v>53</v>
      </c>
      <c r="L570">
        <v>2025</v>
      </c>
      <c r="M570" t="s">
        <v>1257</v>
      </c>
    </row>
    <row r="571" spans="1:13" x14ac:dyDescent="0.35">
      <c r="A571" t="s">
        <v>1530</v>
      </c>
      <c r="B571" t="s">
        <v>1154</v>
      </c>
      <c r="C571" t="s">
        <v>40</v>
      </c>
      <c r="D571" t="s">
        <v>96</v>
      </c>
      <c r="E571" t="s">
        <v>34</v>
      </c>
      <c r="F571" t="s">
        <v>58</v>
      </c>
      <c r="G571" t="s">
        <v>68</v>
      </c>
      <c r="H571">
        <v>21015</v>
      </c>
      <c r="I571">
        <v>2217.5500000000002</v>
      </c>
      <c r="J571" t="s">
        <v>79</v>
      </c>
      <c r="K571" t="s">
        <v>48</v>
      </c>
      <c r="L571">
        <v>2024</v>
      </c>
      <c r="M571" t="s">
        <v>693</v>
      </c>
    </row>
    <row r="572" spans="1:13" x14ac:dyDescent="0.35">
      <c r="A572" t="s">
        <v>1531</v>
      </c>
      <c r="B572" t="s">
        <v>789</v>
      </c>
      <c r="C572" t="s">
        <v>25</v>
      </c>
      <c r="D572" t="s">
        <v>149</v>
      </c>
      <c r="E572" t="s">
        <v>27</v>
      </c>
      <c r="F572" t="s">
        <v>28</v>
      </c>
      <c r="G572" t="s">
        <v>36</v>
      </c>
      <c r="H572">
        <v>873263</v>
      </c>
      <c r="I572">
        <v>-7982.99</v>
      </c>
      <c r="J572" t="s">
        <v>79</v>
      </c>
      <c r="K572" t="s">
        <v>30</v>
      </c>
      <c r="L572">
        <v>2025</v>
      </c>
      <c r="M572" t="s">
        <v>747</v>
      </c>
    </row>
    <row r="573" spans="1:13" x14ac:dyDescent="0.35">
      <c r="A573" t="s">
        <v>1532</v>
      </c>
      <c r="B573" t="s">
        <v>1533</v>
      </c>
      <c r="C573" t="s">
        <v>15</v>
      </c>
      <c r="D573" t="s">
        <v>16</v>
      </c>
      <c r="E573" t="s">
        <v>34</v>
      </c>
      <c r="F573" t="s">
        <v>35</v>
      </c>
      <c r="G573" t="s">
        <v>36</v>
      </c>
      <c r="H573">
        <v>142845</v>
      </c>
      <c r="I573">
        <v>24368.99</v>
      </c>
      <c r="J573" t="s">
        <v>59</v>
      </c>
      <c r="K573" t="s">
        <v>48</v>
      </c>
      <c r="L573">
        <v>2025</v>
      </c>
      <c r="M573" t="s">
        <v>1534</v>
      </c>
    </row>
    <row r="574" spans="1:13" x14ac:dyDescent="0.35">
      <c r="A574" t="s">
        <v>1535</v>
      </c>
      <c r="B574" t="s">
        <v>974</v>
      </c>
      <c r="C574" t="s">
        <v>76</v>
      </c>
      <c r="D574" t="s">
        <v>105</v>
      </c>
      <c r="E574" t="s">
        <v>34</v>
      </c>
      <c r="F574" t="s">
        <v>101</v>
      </c>
      <c r="G574" t="s">
        <v>36</v>
      </c>
      <c r="H574">
        <v>208700</v>
      </c>
      <c r="I574">
        <v>31575.24</v>
      </c>
      <c r="J574" t="s">
        <v>97</v>
      </c>
      <c r="K574" t="s">
        <v>30</v>
      </c>
      <c r="L574">
        <v>2022</v>
      </c>
      <c r="M574" t="s">
        <v>1536</v>
      </c>
    </row>
    <row r="575" spans="1:13" x14ac:dyDescent="0.35">
      <c r="A575" t="s">
        <v>1537</v>
      </c>
      <c r="B575" t="s">
        <v>1538</v>
      </c>
      <c r="C575" t="s">
        <v>76</v>
      </c>
      <c r="D575" t="s">
        <v>77</v>
      </c>
      <c r="E575" t="s">
        <v>34</v>
      </c>
      <c r="F575" t="s">
        <v>101</v>
      </c>
      <c r="G575" t="s">
        <v>36</v>
      </c>
      <c r="H575">
        <v>42151</v>
      </c>
      <c r="I575">
        <v>5381.27</v>
      </c>
      <c r="J575" t="s">
        <v>97</v>
      </c>
      <c r="K575" t="s">
        <v>30</v>
      </c>
      <c r="L575">
        <v>2024</v>
      </c>
      <c r="M575" t="s">
        <v>1539</v>
      </c>
    </row>
    <row r="576" spans="1:13" x14ac:dyDescent="0.35">
      <c r="A576" t="s">
        <v>1540</v>
      </c>
      <c r="B576" t="s">
        <v>659</v>
      </c>
      <c r="C576" t="s">
        <v>40</v>
      </c>
      <c r="D576" t="s">
        <v>41</v>
      </c>
      <c r="E576" t="s">
        <v>138</v>
      </c>
      <c r="F576" t="s">
        <v>208</v>
      </c>
      <c r="G576" t="s">
        <v>19</v>
      </c>
      <c r="H576">
        <v>348713</v>
      </c>
      <c r="I576">
        <v>-25857.200000000001</v>
      </c>
      <c r="J576" t="s">
        <v>47</v>
      </c>
      <c r="K576" t="s">
        <v>48</v>
      </c>
      <c r="L576">
        <v>2023</v>
      </c>
      <c r="M576" t="s">
        <v>1541</v>
      </c>
    </row>
    <row r="577" spans="1:13" x14ac:dyDescent="0.35">
      <c r="A577" t="s">
        <v>1542</v>
      </c>
      <c r="B577" t="s">
        <v>1543</v>
      </c>
      <c r="C577" t="s">
        <v>15</v>
      </c>
      <c r="D577" t="s">
        <v>46</v>
      </c>
      <c r="E577" t="s">
        <v>34</v>
      </c>
      <c r="F577" t="s">
        <v>101</v>
      </c>
      <c r="G577" t="s">
        <v>19</v>
      </c>
      <c r="H577">
        <v>133422</v>
      </c>
      <c r="I577">
        <v>17874.45</v>
      </c>
      <c r="J577" t="s">
        <v>79</v>
      </c>
      <c r="K577" t="s">
        <v>21</v>
      </c>
      <c r="L577">
        <v>2025</v>
      </c>
      <c r="M577" t="s">
        <v>347</v>
      </c>
    </row>
    <row r="578" spans="1:13" x14ac:dyDescent="0.35">
      <c r="A578" t="s">
        <v>1544</v>
      </c>
      <c r="B578" t="s">
        <v>1545</v>
      </c>
      <c r="C578" t="s">
        <v>25</v>
      </c>
      <c r="D578" t="s">
        <v>26</v>
      </c>
      <c r="E578" t="s">
        <v>34</v>
      </c>
      <c r="F578" t="s">
        <v>35</v>
      </c>
      <c r="G578" t="s">
        <v>36</v>
      </c>
      <c r="H578">
        <v>252871</v>
      </c>
      <c r="I578">
        <v>17876.509999999998</v>
      </c>
      <c r="J578" t="s">
        <v>47</v>
      </c>
      <c r="K578" t="s">
        <v>30</v>
      </c>
      <c r="L578">
        <v>2024</v>
      </c>
      <c r="M578" t="s">
        <v>1546</v>
      </c>
    </row>
    <row r="579" spans="1:13" x14ac:dyDescent="0.35">
      <c r="A579" t="s">
        <v>1547</v>
      </c>
      <c r="B579" t="s">
        <v>1548</v>
      </c>
      <c r="C579" t="s">
        <v>76</v>
      </c>
      <c r="D579" t="s">
        <v>77</v>
      </c>
      <c r="E579" t="s">
        <v>34</v>
      </c>
      <c r="F579" t="s">
        <v>35</v>
      </c>
      <c r="G579" t="s">
        <v>68</v>
      </c>
      <c r="H579">
        <v>65440</v>
      </c>
      <c r="I579">
        <v>8566.06</v>
      </c>
      <c r="J579" t="s">
        <v>212</v>
      </c>
      <c r="K579" t="s">
        <v>48</v>
      </c>
      <c r="L579">
        <v>2022</v>
      </c>
      <c r="M579" t="s">
        <v>884</v>
      </c>
    </row>
    <row r="580" spans="1:13" x14ac:dyDescent="0.35">
      <c r="A580" t="s">
        <v>1549</v>
      </c>
      <c r="B580" t="s">
        <v>1550</v>
      </c>
      <c r="C580" t="s">
        <v>76</v>
      </c>
      <c r="D580" t="s">
        <v>171</v>
      </c>
      <c r="E580" t="s">
        <v>17</v>
      </c>
      <c r="F580" t="s">
        <v>112</v>
      </c>
      <c r="G580" t="s">
        <v>19</v>
      </c>
      <c r="H580">
        <v>193169</v>
      </c>
      <c r="I580">
        <v>-160183.57</v>
      </c>
      <c r="J580" t="s">
        <v>47</v>
      </c>
      <c r="K580" t="s">
        <v>48</v>
      </c>
      <c r="L580">
        <v>2023</v>
      </c>
      <c r="M580" t="s">
        <v>662</v>
      </c>
    </row>
    <row r="581" spans="1:13" x14ac:dyDescent="0.35">
      <c r="A581" t="s">
        <v>1551</v>
      </c>
      <c r="B581" t="s">
        <v>1552</v>
      </c>
      <c r="C581" t="s">
        <v>40</v>
      </c>
      <c r="D581" t="s">
        <v>41</v>
      </c>
      <c r="E581" t="s">
        <v>27</v>
      </c>
      <c r="F581" t="s">
        <v>379</v>
      </c>
      <c r="G581" t="s">
        <v>19</v>
      </c>
      <c r="H581">
        <v>970847</v>
      </c>
      <c r="I581">
        <v>106095.85</v>
      </c>
      <c r="J581" t="s">
        <v>20</v>
      </c>
      <c r="K581" t="s">
        <v>53</v>
      </c>
      <c r="L581">
        <v>2021</v>
      </c>
      <c r="M581" t="s">
        <v>1553</v>
      </c>
    </row>
    <row r="582" spans="1:13" x14ac:dyDescent="0.35">
      <c r="A582" t="s">
        <v>1554</v>
      </c>
      <c r="B582" t="s">
        <v>1555</v>
      </c>
      <c r="C582" t="s">
        <v>15</v>
      </c>
      <c r="D582" t="s">
        <v>16</v>
      </c>
      <c r="E582" t="s">
        <v>17</v>
      </c>
      <c r="F582" t="s">
        <v>112</v>
      </c>
      <c r="G582" t="s">
        <v>19</v>
      </c>
      <c r="H582">
        <v>74514</v>
      </c>
      <c r="I582">
        <v>-58831.41</v>
      </c>
      <c r="J582" t="s">
        <v>20</v>
      </c>
      <c r="K582" t="s">
        <v>48</v>
      </c>
      <c r="L582">
        <v>2025</v>
      </c>
      <c r="M582" t="s">
        <v>1556</v>
      </c>
    </row>
    <row r="583" spans="1:13" x14ac:dyDescent="0.35">
      <c r="A583" t="s">
        <v>1557</v>
      </c>
      <c r="B583" t="s">
        <v>1558</v>
      </c>
      <c r="C583" t="s">
        <v>76</v>
      </c>
      <c r="D583" t="s">
        <v>171</v>
      </c>
      <c r="E583" t="s">
        <v>17</v>
      </c>
      <c r="F583" t="s">
        <v>52</v>
      </c>
      <c r="G583" t="s">
        <v>19</v>
      </c>
      <c r="H583">
        <v>33353</v>
      </c>
      <c r="I583">
        <v>-25284.51</v>
      </c>
      <c r="J583" t="s">
        <v>59</v>
      </c>
      <c r="K583" t="s">
        <v>53</v>
      </c>
      <c r="L583">
        <v>2022</v>
      </c>
      <c r="M583" t="s">
        <v>1239</v>
      </c>
    </row>
    <row r="584" spans="1:13" x14ac:dyDescent="0.35">
      <c r="A584" t="s">
        <v>1559</v>
      </c>
      <c r="B584" t="s">
        <v>1109</v>
      </c>
      <c r="C584" t="s">
        <v>15</v>
      </c>
      <c r="D584" t="s">
        <v>57</v>
      </c>
      <c r="E584" t="s">
        <v>34</v>
      </c>
      <c r="F584" t="s">
        <v>58</v>
      </c>
      <c r="G584" t="s">
        <v>19</v>
      </c>
      <c r="H584">
        <v>127222</v>
      </c>
      <c r="I584">
        <v>23407.32</v>
      </c>
      <c r="J584" t="s">
        <v>113</v>
      </c>
      <c r="K584" t="s">
        <v>48</v>
      </c>
      <c r="L584">
        <v>2023</v>
      </c>
      <c r="M584" t="s">
        <v>1560</v>
      </c>
    </row>
    <row r="585" spans="1:13" x14ac:dyDescent="0.35">
      <c r="A585" t="s">
        <v>1561</v>
      </c>
      <c r="B585" t="s">
        <v>1162</v>
      </c>
      <c r="C585" t="s">
        <v>25</v>
      </c>
      <c r="D585" t="s">
        <v>83</v>
      </c>
      <c r="E585" t="s">
        <v>17</v>
      </c>
      <c r="F585" t="s">
        <v>112</v>
      </c>
      <c r="G585" t="s">
        <v>78</v>
      </c>
      <c r="H585">
        <v>193084</v>
      </c>
      <c r="I585">
        <v>-146136.72</v>
      </c>
      <c r="J585" t="s">
        <v>29</v>
      </c>
      <c r="K585" t="s">
        <v>21</v>
      </c>
      <c r="L585">
        <v>2021</v>
      </c>
      <c r="M585" t="s">
        <v>1562</v>
      </c>
    </row>
    <row r="586" spans="1:13" x14ac:dyDescent="0.35">
      <c r="A586" t="s">
        <v>1563</v>
      </c>
      <c r="B586" t="s">
        <v>1203</v>
      </c>
      <c r="C586" t="s">
        <v>15</v>
      </c>
      <c r="D586" t="s">
        <v>57</v>
      </c>
      <c r="E586" t="s">
        <v>27</v>
      </c>
      <c r="F586" t="s">
        <v>379</v>
      </c>
      <c r="G586" t="s">
        <v>19</v>
      </c>
      <c r="H586">
        <v>202110</v>
      </c>
      <c r="I586">
        <v>27608.34</v>
      </c>
      <c r="J586" t="s">
        <v>20</v>
      </c>
      <c r="K586" t="s">
        <v>30</v>
      </c>
      <c r="L586">
        <v>2024</v>
      </c>
      <c r="M586" t="s">
        <v>1564</v>
      </c>
    </row>
    <row r="587" spans="1:13" x14ac:dyDescent="0.35">
      <c r="A587" t="s">
        <v>1565</v>
      </c>
      <c r="B587" t="s">
        <v>723</v>
      </c>
      <c r="C587" t="s">
        <v>25</v>
      </c>
      <c r="D587" t="s">
        <v>26</v>
      </c>
      <c r="E587" t="s">
        <v>34</v>
      </c>
      <c r="F587" t="s">
        <v>58</v>
      </c>
      <c r="G587" t="s">
        <v>68</v>
      </c>
      <c r="H587">
        <v>258406</v>
      </c>
      <c r="I587">
        <v>25374.79</v>
      </c>
      <c r="J587" t="s">
        <v>29</v>
      </c>
      <c r="K587" t="s">
        <v>48</v>
      </c>
      <c r="L587">
        <v>2025</v>
      </c>
      <c r="M587" t="s">
        <v>1566</v>
      </c>
    </row>
    <row r="588" spans="1:13" x14ac:dyDescent="0.35">
      <c r="A588" t="s">
        <v>1567</v>
      </c>
      <c r="B588" t="s">
        <v>1568</v>
      </c>
      <c r="C588" t="s">
        <v>76</v>
      </c>
      <c r="D588" t="s">
        <v>171</v>
      </c>
      <c r="E588" t="s">
        <v>34</v>
      </c>
      <c r="F588" t="s">
        <v>35</v>
      </c>
      <c r="G588" t="s">
        <v>19</v>
      </c>
      <c r="H588">
        <v>203793</v>
      </c>
      <c r="I588">
        <v>33249.440000000002</v>
      </c>
      <c r="J588" t="s">
        <v>212</v>
      </c>
      <c r="K588" t="s">
        <v>53</v>
      </c>
      <c r="L588">
        <v>2025</v>
      </c>
      <c r="M588" t="s">
        <v>93</v>
      </c>
    </row>
    <row r="589" spans="1:13" x14ac:dyDescent="0.35">
      <c r="A589" t="s">
        <v>1569</v>
      </c>
      <c r="B589" t="s">
        <v>1570</v>
      </c>
      <c r="C589" t="s">
        <v>40</v>
      </c>
      <c r="D589" t="s">
        <v>96</v>
      </c>
      <c r="E589" t="s">
        <v>17</v>
      </c>
      <c r="F589" t="s">
        <v>72</v>
      </c>
      <c r="G589" t="s">
        <v>68</v>
      </c>
      <c r="H589">
        <v>146612</v>
      </c>
      <c r="I589">
        <v>-132740.18</v>
      </c>
      <c r="J589" t="s">
        <v>113</v>
      </c>
      <c r="K589" t="s">
        <v>21</v>
      </c>
      <c r="L589">
        <v>2021</v>
      </c>
      <c r="M589" t="s">
        <v>243</v>
      </c>
    </row>
    <row r="590" spans="1:13" x14ac:dyDescent="0.35">
      <c r="A590" t="s">
        <v>1571</v>
      </c>
      <c r="B590" t="s">
        <v>1572</v>
      </c>
      <c r="C590" t="s">
        <v>40</v>
      </c>
      <c r="D590" t="s">
        <v>96</v>
      </c>
      <c r="E590" t="s">
        <v>17</v>
      </c>
      <c r="F590" t="s">
        <v>112</v>
      </c>
      <c r="G590" t="s">
        <v>68</v>
      </c>
      <c r="H590">
        <v>186166</v>
      </c>
      <c r="I590">
        <v>-159932.4</v>
      </c>
      <c r="J590" t="s">
        <v>212</v>
      </c>
      <c r="K590" t="s">
        <v>48</v>
      </c>
      <c r="L590">
        <v>2021</v>
      </c>
      <c r="M590" t="s">
        <v>487</v>
      </c>
    </row>
    <row r="591" spans="1:13" x14ac:dyDescent="0.35">
      <c r="A591" t="s">
        <v>1573</v>
      </c>
      <c r="B591" t="s">
        <v>1574</v>
      </c>
      <c r="C591" t="s">
        <v>25</v>
      </c>
      <c r="D591" t="s">
        <v>26</v>
      </c>
      <c r="E591" t="s">
        <v>34</v>
      </c>
      <c r="F591" t="s">
        <v>58</v>
      </c>
      <c r="G591" t="s">
        <v>36</v>
      </c>
      <c r="H591">
        <v>249733</v>
      </c>
      <c r="I591">
        <v>35953.1</v>
      </c>
      <c r="J591" t="s">
        <v>212</v>
      </c>
      <c r="K591" t="s">
        <v>53</v>
      </c>
      <c r="L591">
        <v>2024</v>
      </c>
      <c r="M591" t="s">
        <v>1575</v>
      </c>
    </row>
    <row r="592" spans="1:13" x14ac:dyDescent="0.35">
      <c r="A592" t="s">
        <v>1576</v>
      </c>
      <c r="B592" t="s">
        <v>1577</v>
      </c>
      <c r="C592" t="s">
        <v>76</v>
      </c>
      <c r="D592" t="s">
        <v>171</v>
      </c>
      <c r="E592" t="s">
        <v>17</v>
      </c>
      <c r="F592" t="s">
        <v>42</v>
      </c>
      <c r="G592" t="s">
        <v>19</v>
      </c>
      <c r="H592">
        <v>127777</v>
      </c>
      <c r="I592">
        <v>-94641.83</v>
      </c>
      <c r="J592" t="s">
        <v>47</v>
      </c>
      <c r="K592" t="s">
        <v>30</v>
      </c>
      <c r="L592">
        <v>2024</v>
      </c>
      <c r="M592" t="s">
        <v>1461</v>
      </c>
    </row>
    <row r="593" spans="1:13" x14ac:dyDescent="0.35">
      <c r="A593" t="s">
        <v>1578</v>
      </c>
      <c r="B593" t="s">
        <v>1579</v>
      </c>
      <c r="C593" t="s">
        <v>25</v>
      </c>
      <c r="D593" t="s">
        <v>149</v>
      </c>
      <c r="E593" t="s">
        <v>17</v>
      </c>
      <c r="F593" t="s">
        <v>72</v>
      </c>
      <c r="G593" t="s">
        <v>78</v>
      </c>
      <c r="H593">
        <v>162671</v>
      </c>
      <c r="I593">
        <v>-129712.17</v>
      </c>
      <c r="J593" t="s">
        <v>113</v>
      </c>
      <c r="K593" t="s">
        <v>53</v>
      </c>
      <c r="L593">
        <v>2021</v>
      </c>
      <c r="M593" t="s">
        <v>1580</v>
      </c>
    </row>
    <row r="594" spans="1:13" x14ac:dyDescent="0.35">
      <c r="A594" t="s">
        <v>1581</v>
      </c>
      <c r="B594" t="s">
        <v>1582</v>
      </c>
      <c r="C594" t="s">
        <v>76</v>
      </c>
      <c r="D594" t="s">
        <v>105</v>
      </c>
      <c r="E594" t="s">
        <v>17</v>
      </c>
      <c r="F594" t="s">
        <v>52</v>
      </c>
      <c r="G594" t="s">
        <v>36</v>
      </c>
      <c r="H594">
        <v>180090</v>
      </c>
      <c r="I594">
        <v>-152978.66</v>
      </c>
      <c r="J594" t="s">
        <v>113</v>
      </c>
      <c r="K594" t="s">
        <v>48</v>
      </c>
      <c r="L594">
        <v>2022</v>
      </c>
      <c r="M594" t="s">
        <v>707</v>
      </c>
    </row>
    <row r="595" spans="1:13" x14ac:dyDescent="0.35">
      <c r="A595" t="s">
        <v>1583</v>
      </c>
      <c r="B595" t="s">
        <v>1076</v>
      </c>
      <c r="C595" t="s">
        <v>15</v>
      </c>
      <c r="D595" t="s">
        <v>57</v>
      </c>
      <c r="E595" t="s">
        <v>27</v>
      </c>
      <c r="F595" t="s">
        <v>28</v>
      </c>
      <c r="G595" t="s">
        <v>19</v>
      </c>
      <c r="H595">
        <v>243000</v>
      </c>
      <c r="I595">
        <v>23485.64</v>
      </c>
      <c r="J595" t="s">
        <v>97</v>
      </c>
      <c r="K595" t="s">
        <v>53</v>
      </c>
      <c r="L595">
        <v>2023</v>
      </c>
      <c r="M595" t="s">
        <v>732</v>
      </c>
    </row>
    <row r="596" spans="1:13" x14ac:dyDescent="0.35">
      <c r="A596" t="s">
        <v>1584</v>
      </c>
      <c r="B596" t="s">
        <v>1585</v>
      </c>
      <c r="C596" t="s">
        <v>40</v>
      </c>
      <c r="D596" t="s">
        <v>66</v>
      </c>
      <c r="E596" t="s">
        <v>17</v>
      </c>
      <c r="F596" t="s">
        <v>42</v>
      </c>
      <c r="G596" t="s">
        <v>78</v>
      </c>
      <c r="H596">
        <v>19095</v>
      </c>
      <c r="I596">
        <v>-18128.7</v>
      </c>
      <c r="J596" t="s">
        <v>59</v>
      </c>
      <c r="K596" t="s">
        <v>53</v>
      </c>
      <c r="L596">
        <v>2021</v>
      </c>
      <c r="M596" t="s">
        <v>1586</v>
      </c>
    </row>
    <row r="597" spans="1:13" x14ac:dyDescent="0.35">
      <c r="A597" t="s">
        <v>1587</v>
      </c>
      <c r="B597" t="s">
        <v>1588</v>
      </c>
      <c r="C597" t="s">
        <v>15</v>
      </c>
      <c r="D597" t="s">
        <v>57</v>
      </c>
      <c r="E597" t="s">
        <v>34</v>
      </c>
      <c r="F597" t="s">
        <v>101</v>
      </c>
      <c r="G597" t="s">
        <v>68</v>
      </c>
      <c r="H597">
        <v>23966</v>
      </c>
      <c r="I597">
        <v>5876.3</v>
      </c>
      <c r="J597" t="s">
        <v>29</v>
      </c>
      <c r="K597" t="s">
        <v>21</v>
      </c>
      <c r="L597">
        <v>2023</v>
      </c>
      <c r="M597" t="s">
        <v>1589</v>
      </c>
    </row>
    <row r="598" spans="1:13" x14ac:dyDescent="0.35">
      <c r="A598" t="s">
        <v>1590</v>
      </c>
      <c r="B598" t="s">
        <v>1591</v>
      </c>
      <c r="C598" t="s">
        <v>40</v>
      </c>
      <c r="D598" t="s">
        <v>41</v>
      </c>
      <c r="E598" t="s">
        <v>34</v>
      </c>
      <c r="F598" t="s">
        <v>58</v>
      </c>
      <c r="G598" t="s">
        <v>19</v>
      </c>
      <c r="H598">
        <v>140012</v>
      </c>
      <c r="I598">
        <v>18146.91</v>
      </c>
      <c r="J598" t="s">
        <v>97</v>
      </c>
      <c r="K598" t="s">
        <v>48</v>
      </c>
      <c r="L598">
        <v>2025</v>
      </c>
      <c r="M598" t="s">
        <v>642</v>
      </c>
    </row>
    <row r="599" spans="1:13" x14ac:dyDescent="0.35">
      <c r="A599" t="s">
        <v>1592</v>
      </c>
      <c r="B599" t="s">
        <v>1398</v>
      </c>
      <c r="C599" t="s">
        <v>15</v>
      </c>
      <c r="D599" t="s">
        <v>57</v>
      </c>
      <c r="E599" t="s">
        <v>27</v>
      </c>
      <c r="F599" t="s">
        <v>379</v>
      </c>
      <c r="G599" t="s">
        <v>19</v>
      </c>
      <c r="H599">
        <v>570130</v>
      </c>
      <c r="I599">
        <v>14184.58</v>
      </c>
      <c r="J599" t="s">
        <v>29</v>
      </c>
      <c r="K599" t="s">
        <v>30</v>
      </c>
      <c r="L599">
        <v>2025</v>
      </c>
      <c r="M599" t="s">
        <v>1593</v>
      </c>
    </row>
    <row r="600" spans="1:13" x14ac:dyDescent="0.35">
      <c r="A600" t="s">
        <v>1594</v>
      </c>
      <c r="B600" t="s">
        <v>1595</v>
      </c>
      <c r="C600" t="s">
        <v>40</v>
      </c>
      <c r="D600" t="s">
        <v>96</v>
      </c>
      <c r="E600" t="s">
        <v>17</v>
      </c>
      <c r="F600" t="s">
        <v>18</v>
      </c>
      <c r="G600" t="s">
        <v>19</v>
      </c>
      <c r="H600">
        <v>74634</v>
      </c>
      <c r="I600">
        <v>-54366.21</v>
      </c>
      <c r="J600" t="s">
        <v>29</v>
      </c>
      <c r="K600" t="s">
        <v>53</v>
      </c>
      <c r="L600">
        <v>2022</v>
      </c>
      <c r="M600" t="s">
        <v>1596</v>
      </c>
    </row>
    <row r="601" spans="1:13" x14ac:dyDescent="0.35">
      <c r="A601" t="s">
        <v>1597</v>
      </c>
      <c r="B601" t="s">
        <v>1598</v>
      </c>
      <c r="C601" t="s">
        <v>40</v>
      </c>
      <c r="D601" t="s">
        <v>41</v>
      </c>
      <c r="E601" t="s">
        <v>34</v>
      </c>
      <c r="F601" t="s">
        <v>35</v>
      </c>
      <c r="G601" t="s">
        <v>19</v>
      </c>
      <c r="H601">
        <v>219558</v>
      </c>
      <c r="I601">
        <v>27415.87</v>
      </c>
      <c r="J601" t="s">
        <v>20</v>
      </c>
      <c r="K601" t="s">
        <v>48</v>
      </c>
      <c r="L601">
        <v>2021</v>
      </c>
      <c r="M601" t="s">
        <v>1346</v>
      </c>
    </row>
    <row r="602" spans="1:13" x14ac:dyDescent="0.35">
      <c r="A602" t="s">
        <v>1599</v>
      </c>
      <c r="B602" t="s">
        <v>1600</v>
      </c>
      <c r="C602" t="s">
        <v>40</v>
      </c>
      <c r="D602" t="s">
        <v>66</v>
      </c>
      <c r="E602" t="s">
        <v>34</v>
      </c>
      <c r="F602" t="s">
        <v>67</v>
      </c>
      <c r="G602" t="s">
        <v>19</v>
      </c>
      <c r="H602">
        <v>279575</v>
      </c>
      <c r="I602">
        <v>33296.78</v>
      </c>
      <c r="J602" t="s">
        <v>47</v>
      </c>
      <c r="K602" t="s">
        <v>21</v>
      </c>
      <c r="L602">
        <v>2023</v>
      </c>
      <c r="M602" t="s">
        <v>282</v>
      </c>
    </row>
    <row r="603" spans="1:13" x14ac:dyDescent="0.35">
      <c r="A603" t="s">
        <v>1601</v>
      </c>
      <c r="B603" t="s">
        <v>1602</v>
      </c>
      <c r="C603" t="s">
        <v>25</v>
      </c>
      <c r="D603" t="s">
        <v>149</v>
      </c>
      <c r="E603" t="s">
        <v>34</v>
      </c>
      <c r="F603" t="s">
        <v>101</v>
      </c>
      <c r="G603" t="s">
        <v>36</v>
      </c>
      <c r="H603">
        <v>26072</v>
      </c>
      <c r="I603">
        <v>6050.14</v>
      </c>
      <c r="J603" t="s">
        <v>212</v>
      </c>
      <c r="K603" t="s">
        <v>30</v>
      </c>
      <c r="L603">
        <v>2025</v>
      </c>
      <c r="M603" t="s">
        <v>1050</v>
      </c>
    </row>
    <row r="604" spans="1:13" x14ac:dyDescent="0.35">
      <c r="A604" t="s">
        <v>1603</v>
      </c>
      <c r="B604" t="s">
        <v>1604</v>
      </c>
      <c r="C604" t="s">
        <v>40</v>
      </c>
      <c r="D604" t="s">
        <v>41</v>
      </c>
      <c r="E604" t="s">
        <v>17</v>
      </c>
      <c r="F604" t="s">
        <v>112</v>
      </c>
      <c r="G604" t="s">
        <v>36</v>
      </c>
      <c r="H604">
        <v>92738</v>
      </c>
      <c r="I604">
        <v>-65744.62</v>
      </c>
      <c r="J604" t="s">
        <v>29</v>
      </c>
      <c r="K604" t="s">
        <v>53</v>
      </c>
      <c r="L604">
        <v>2025</v>
      </c>
      <c r="M604" t="s">
        <v>1605</v>
      </c>
    </row>
    <row r="605" spans="1:13" x14ac:dyDescent="0.35">
      <c r="A605" t="s">
        <v>1606</v>
      </c>
      <c r="B605" t="s">
        <v>1607</v>
      </c>
      <c r="C605" t="s">
        <v>25</v>
      </c>
      <c r="D605" t="s">
        <v>149</v>
      </c>
      <c r="E605" t="s">
        <v>17</v>
      </c>
      <c r="F605" t="s">
        <v>52</v>
      </c>
      <c r="G605" t="s">
        <v>78</v>
      </c>
      <c r="H605">
        <v>5747</v>
      </c>
      <c r="I605">
        <v>-5549.86</v>
      </c>
      <c r="J605" t="s">
        <v>20</v>
      </c>
      <c r="K605" t="s">
        <v>21</v>
      </c>
      <c r="L605">
        <v>2021</v>
      </c>
      <c r="M605" t="s">
        <v>555</v>
      </c>
    </row>
    <row r="606" spans="1:13" x14ac:dyDescent="0.35">
      <c r="A606" t="s">
        <v>1608</v>
      </c>
      <c r="B606" t="s">
        <v>891</v>
      </c>
      <c r="C606" t="s">
        <v>76</v>
      </c>
      <c r="D606" t="s">
        <v>105</v>
      </c>
      <c r="E606" t="s">
        <v>138</v>
      </c>
      <c r="F606" t="s">
        <v>208</v>
      </c>
      <c r="G606" t="s">
        <v>36</v>
      </c>
      <c r="H606">
        <v>340296</v>
      </c>
      <c r="I606">
        <v>-26325.73</v>
      </c>
      <c r="J606" t="s">
        <v>20</v>
      </c>
      <c r="K606" t="s">
        <v>48</v>
      </c>
      <c r="L606">
        <v>2021</v>
      </c>
      <c r="M606" t="s">
        <v>511</v>
      </c>
    </row>
    <row r="607" spans="1:13" x14ac:dyDescent="0.35">
      <c r="A607" t="s">
        <v>1609</v>
      </c>
      <c r="B607" t="s">
        <v>1610</v>
      </c>
      <c r="C607" t="s">
        <v>40</v>
      </c>
      <c r="D607" t="s">
        <v>96</v>
      </c>
      <c r="E607" t="s">
        <v>34</v>
      </c>
      <c r="F607" t="s">
        <v>35</v>
      </c>
      <c r="G607" t="s">
        <v>78</v>
      </c>
      <c r="H607">
        <v>135011</v>
      </c>
      <c r="I607">
        <v>17805.34</v>
      </c>
      <c r="J607" t="s">
        <v>47</v>
      </c>
      <c r="K607" t="s">
        <v>30</v>
      </c>
      <c r="L607">
        <v>2024</v>
      </c>
      <c r="M607" t="s">
        <v>857</v>
      </c>
    </row>
    <row r="608" spans="1:13" x14ac:dyDescent="0.35">
      <c r="A608" t="s">
        <v>1611</v>
      </c>
      <c r="B608" t="s">
        <v>1612</v>
      </c>
      <c r="C608" t="s">
        <v>40</v>
      </c>
      <c r="D608" t="s">
        <v>96</v>
      </c>
      <c r="E608" t="s">
        <v>138</v>
      </c>
      <c r="F608" t="s">
        <v>139</v>
      </c>
      <c r="G608" t="s">
        <v>19</v>
      </c>
      <c r="H608">
        <v>319465</v>
      </c>
      <c r="I608">
        <v>42804.76</v>
      </c>
      <c r="J608" t="s">
        <v>47</v>
      </c>
      <c r="K608" t="s">
        <v>53</v>
      </c>
      <c r="L608">
        <v>2023</v>
      </c>
      <c r="M608" t="s">
        <v>1613</v>
      </c>
    </row>
    <row r="609" spans="1:13" x14ac:dyDescent="0.35">
      <c r="A609" t="s">
        <v>1614</v>
      </c>
      <c r="B609" t="s">
        <v>704</v>
      </c>
      <c r="C609" t="s">
        <v>76</v>
      </c>
      <c r="D609" t="s">
        <v>171</v>
      </c>
      <c r="E609" t="s">
        <v>34</v>
      </c>
      <c r="F609" t="s">
        <v>101</v>
      </c>
      <c r="G609" t="s">
        <v>36</v>
      </c>
      <c r="H609">
        <v>34030</v>
      </c>
      <c r="I609">
        <v>3873.77</v>
      </c>
      <c r="J609" t="s">
        <v>212</v>
      </c>
      <c r="K609" t="s">
        <v>30</v>
      </c>
      <c r="L609">
        <v>2024</v>
      </c>
      <c r="M609" t="s">
        <v>1615</v>
      </c>
    </row>
    <row r="610" spans="1:13" x14ac:dyDescent="0.35">
      <c r="A610" t="s">
        <v>1616</v>
      </c>
      <c r="B610" t="s">
        <v>1617</v>
      </c>
      <c r="C610" t="s">
        <v>15</v>
      </c>
      <c r="D610" t="s">
        <v>16</v>
      </c>
      <c r="E610" t="s">
        <v>17</v>
      </c>
      <c r="F610" t="s">
        <v>18</v>
      </c>
      <c r="G610" t="s">
        <v>19</v>
      </c>
      <c r="H610">
        <v>49560</v>
      </c>
      <c r="I610">
        <v>-46944.3</v>
      </c>
      <c r="J610" t="s">
        <v>59</v>
      </c>
      <c r="K610" t="s">
        <v>21</v>
      </c>
      <c r="L610">
        <v>2025</v>
      </c>
      <c r="M610" t="s">
        <v>1618</v>
      </c>
    </row>
    <row r="611" spans="1:13" x14ac:dyDescent="0.35">
      <c r="A611" t="s">
        <v>1619</v>
      </c>
      <c r="B611" t="s">
        <v>1620</v>
      </c>
      <c r="C611" t="s">
        <v>40</v>
      </c>
      <c r="D611" t="s">
        <v>41</v>
      </c>
      <c r="E611" t="s">
        <v>138</v>
      </c>
      <c r="F611" t="s">
        <v>139</v>
      </c>
      <c r="G611" t="s">
        <v>19</v>
      </c>
      <c r="H611">
        <v>384248</v>
      </c>
      <c r="I611">
        <v>70613.460000000006</v>
      </c>
      <c r="J611" t="s">
        <v>113</v>
      </c>
      <c r="K611" t="s">
        <v>53</v>
      </c>
      <c r="L611">
        <v>2025</v>
      </c>
      <c r="M611" t="s">
        <v>1621</v>
      </c>
    </row>
    <row r="612" spans="1:13" x14ac:dyDescent="0.35">
      <c r="A612" t="s">
        <v>1622</v>
      </c>
      <c r="B612" t="s">
        <v>1179</v>
      </c>
      <c r="C612" t="s">
        <v>15</v>
      </c>
      <c r="D612" t="s">
        <v>46</v>
      </c>
      <c r="E612" t="s">
        <v>34</v>
      </c>
      <c r="F612" t="s">
        <v>67</v>
      </c>
      <c r="G612" t="s">
        <v>36</v>
      </c>
      <c r="H612">
        <v>189209</v>
      </c>
      <c r="I612">
        <v>30831.33</v>
      </c>
      <c r="J612" t="s">
        <v>79</v>
      </c>
      <c r="K612" t="s">
        <v>30</v>
      </c>
      <c r="L612">
        <v>2022</v>
      </c>
      <c r="M612" t="s">
        <v>1623</v>
      </c>
    </row>
    <row r="613" spans="1:13" x14ac:dyDescent="0.35">
      <c r="A613" t="s">
        <v>1624</v>
      </c>
      <c r="B613" t="s">
        <v>1198</v>
      </c>
      <c r="C613" t="s">
        <v>40</v>
      </c>
      <c r="D613" t="s">
        <v>66</v>
      </c>
      <c r="E613" t="s">
        <v>34</v>
      </c>
      <c r="F613" t="s">
        <v>35</v>
      </c>
      <c r="G613" t="s">
        <v>68</v>
      </c>
      <c r="H613">
        <v>152845</v>
      </c>
      <c r="I613">
        <v>30893.53</v>
      </c>
      <c r="J613" t="s">
        <v>29</v>
      </c>
      <c r="K613" t="s">
        <v>48</v>
      </c>
      <c r="L613">
        <v>2022</v>
      </c>
      <c r="M613" t="s">
        <v>311</v>
      </c>
    </row>
    <row r="614" spans="1:13" x14ac:dyDescent="0.35">
      <c r="A614" t="s">
        <v>1625</v>
      </c>
      <c r="B614" t="s">
        <v>1626</v>
      </c>
      <c r="C614" t="s">
        <v>15</v>
      </c>
      <c r="D614" t="s">
        <v>57</v>
      </c>
      <c r="E614" t="s">
        <v>17</v>
      </c>
      <c r="F614" t="s">
        <v>52</v>
      </c>
      <c r="G614" t="s">
        <v>36</v>
      </c>
      <c r="H614">
        <v>166822</v>
      </c>
      <c r="I614">
        <v>-150980.39000000001</v>
      </c>
      <c r="J614" t="s">
        <v>29</v>
      </c>
      <c r="K614" t="s">
        <v>53</v>
      </c>
      <c r="L614">
        <v>2023</v>
      </c>
      <c r="M614" t="s">
        <v>1627</v>
      </c>
    </row>
    <row r="615" spans="1:13" x14ac:dyDescent="0.35">
      <c r="A615" t="s">
        <v>1628</v>
      </c>
      <c r="B615" t="s">
        <v>1629</v>
      </c>
      <c r="C615" t="s">
        <v>76</v>
      </c>
      <c r="D615" t="s">
        <v>77</v>
      </c>
      <c r="E615" t="s">
        <v>17</v>
      </c>
      <c r="F615" t="s">
        <v>42</v>
      </c>
      <c r="G615" t="s">
        <v>36</v>
      </c>
      <c r="H615">
        <v>199464</v>
      </c>
      <c r="I615">
        <v>-191088.66</v>
      </c>
      <c r="J615" t="s">
        <v>79</v>
      </c>
      <c r="K615" t="s">
        <v>53</v>
      </c>
      <c r="L615">
        <v>2024</v>
      </c>
      <c r="M615" t="s">
        <v>1562</v>
      </c>
    </row>
    <row r="616" spans="1:13" x14ac:dyDescent="0.35">
      <c r="A616" t="s">
        <v>1630</v>
      </c>
      <c r="B616" t="s">
        <v>1631</v>
      </c>
      <c r="C616" t="s">
        <v>76</v>
      </c>
      <c r="D616" t="s">
        <v>77</v>
      </c>
      <c r="E616" t="s">
        <v>34</v>
      </c>
      <c r="F616" t="s">
        <v>58</v>
      </c>
      <c r="G616" t="s">
        <v>78</v>
      </c>
      <c r="H616">
        <v>249159</v>
      </c>
      <c r="I616">
        <v>54928.75</v>
      </c>
      <c r="J616" t="s">
        <v>113</v>
      </c>
      <c r="K616" t="s">
        <v>53</v>
      </c>
      <c r="L616">
        <v>2025</v>
      </c>
      <c r="M616" t="s">
        <v>1632</v>
      </c>
    </row>
    <row r="617" spans="1:13" x14ac:dyDescent="0.35">
      <c r="A617" t="s">
        <v>1633</v>
      </c>
      <c r="B617" t="s">
        <v>1634</v>
      </c>
      <c r="C617" t="s">
        <v>25</v>
      </c>
      <c r="D617" t="s">
        <v>83</v>
      </c>
      <c r="E617" t="s">
        <v>27</v>
      </c>
      <c r="F617" t="s">
        <v>219</v>
      </c>
      <c r="G617" t="s">
        <v>36</v>
      </c>
      <c r="H617">
        <v>442111</v>
      </c>
      <c r="I617">
        <v>57959.98</v>
      </c>
      <c r="J617" t="s">
        <v>212</v>
      </c>
      <c r="K617" t="s">
        <v>30</v>
      </c>
      <c r="L617">
        <v>2023</v>
      </c>
      <c r="M617" t="s">
        <v>1635</v>
      </c>
    </row>
    <row r="618" spans="1:13" x14ac:dyDescent="0.35">
      <c r="A618" t="s">
        <v>1636</v>
      </c>
      <c r="B618" t="s">
        <v>1637</v>
      </c>
      <c r="C618" t="s">
        <v>40</v>
      </c>
      <c r="D618" t="s">
        <v>96</v>
      </c>
      <c r="E618" t="s">
        <v>17</v>
      </c>
      <c r="F618" t="s">
        <v>112</v>
      </c>
      <c r="G618" t="s">
        <v>36</v>
      </c>
      <c r="H618">
        <v>39329</v>
      </c>
      <c r="I618">
        <v>-28936.25</v>
      </c>
      <c r="J618" t="s">
        <v>97</v>
      </c>
      <c r="K618" t="s">
        <v>53</v>
      </c>
      <c r="L618">
        <v>2022</v>
      </c>
      <c r="M618" t="s">
        <v>294</v>
      </c>
    </row>
    <row r="619" spans="1:13" x14ac:dyDescent="0.35">
      <c r="A619" t="s">
        <v>1638</v>
      </c>
      <c r="B619" t="s">
        <v>1639</v>
      </c>
      <c r="C619" t="s">
        <v>76</v>
      </c>
      <c r="D619" t="s">
        <v>171</v>
      </c>
      <c r="E619" t="s">
        <v>34</v>
      </c>
      <c r="F619" t="s">
        <v>101</v>
      </c>
      <c r="G619" t="s">
        <v>36</v>
      </c>
      <c r="H619">
        <v>234102</v>
      </c>
      <c r="I619">
        <v>23586.87</v>
      </c>
      <c r="J619" t="s">
        <v>212</v>
      </c>
      <c r="K619" t="s">
        <v>53</v>
      </c>
      <c r="L619">
        <v>2025</v>
      </c>
      <c r="M619" t="s">
        <v>1182</v>
      </c>
    </row>
    <row r="620" spans="1:13" x14ac:dyDescent="0.35">
      <c r="A620" t="s">
        <v>1640</v>
      </c>
      <c r="B620" t="s">
        <v>1641</v>
      </c>
      <c r="C620" t="s">
        <v>25</v>
      </c>
      <c r="D620" t="s">
        <v>26</v>
      </c>
      <c r="E620" t="s">
        <v>138</v>
      </c>
      <c r="F620" t="s">
        <v>139</v>
      </c>
      <c r="G620" t="s">
        <v>36</v>
      </c>
      <c r="H620">
        <v>362104</v>
      </c>
      <c r="I620">
        <v>32576.97</v>
      </c>
      <c r="J620" t="s">
        <v>29</v>
      </c>
      <c r="K620" t="s">
        <v>21</v>
      </c>
      <c r="L620">
        <v>2021</v>
      </c>
      <c r="M620" t="s">
        <v>1642</v>
      </c>
    </row>
    <row r="621" spans="1:13" x14ac:dyDescent="0.35">
      <c r="A621" t="s">
        <v>1643</v>
      </c>
      <c r="B621" t="s">
        <v>1644</v>
      </c>
      <c r="C621" t="s">
        <v>76</v>
      </c>
      <c r="D621" t="s">
        <v>77</v>
      </c>
      <c r="E621" t="s">
        <v>17</v>
      </c>
      <c r="F621" t="s">
        <v>42</v>
      </c>
      <c r="G621" t="s">
        <v>36</v>
      </c>
      <c r="H621">
        <v>69178</v>
      </c>
      <c r="I621">
        <v>-51909.25</v>
      </c>
      <c r="J621" t="s">
        <v>212</v>
      </c>
      <c r="K621" t="s">
        <v>53</v>
      </c>
      <c r="L621">
        <v>2021</v>
      </c>
      <c r="M621" t="s">
        <v>1541</v>
      </c>
    </row>
    <row r="622" spans="1:13" x14ac:dyDescent="0.35">
      <c r="A622" t="s">
        <v>1645</v>
      </c>
      <c r="B622" t="s">
        <v>1646</v>
      </c>
      <c r="C622" t="s">
        <v>76</v>
      </c>
      <c r="D622" t="s">
        <v>105</v>
      </c>
      <c r="E622" t="s">
        <v>34</v>
      </c>
      <c r="F622" t="s">
        <v>35</v>
      </c>
      <c r="G622" t="s">
        <v>19</v>
      </c>
      <c r="H622">
        <v>147982</v>
      </c>
      <c r="I622">
        <v>22110.58</v>
      </c>
      <c r="J622" t="s">
        <v>59</v>
      </c>
      <c r="K622" t="s">
        <v>30</v>
      </c>
      <c r="L622">
        <v>2021</v>
      </c>
      <c r="M622" t="s">
        <v>1118</v>
      </c>
    </row>
    <row r="623" spans="1:13" x14ac:dyDescent="0.35">
      <c r="A623" t="s">
        <v>1647</v>
      </c>
      <c r="B623" t="s">
        <v>319</v>
      </c>
      <c r="C623" t="s">
        <v>76</v>
      </c>
      <c r="D623" t="s">
        <v>105</v>
      </c>
      <c r="E623" t="s">
        <v>34</v>
      </c>
      <c r="F623" t="s">
        <v>101</v>
      </c>
      <c r="G623" t="s">
        <v>36</v>
      </c>
      <c r="H623">
        <v>130389</v>
      </c>
      <c r="I623">
        <v>28897.25</v>
      </c>
      <c r="J623" t="s">
        <v>212</v>
      </c>
      <c r="K623" t="s">
        <v>21</v>
      </c>
      <c r="L623">
        <v>2021</v>
      </c>
      <c r="M623" t="s">
        <v>175</v>
      </c>
    </row>
    <row r="624" spans="1:13" x14ac:dyDescent="0.35">
      <c r="A624" t="s">
        <v>1648</v>
      </c>
      <c r="B624" t="s">
        <v>1626</v>
      </c>
      <c r="C624" t="s">
        <v>40</v>
      </c>
      <c r="D624" t="s">
        <v>66</v>
      </c>
      <c r="E624" t="s">
        <v>17</v>
      </c>
      <c r="F624" t="s">
        <v>42</v>
      </c>
      <c r="G624" t="s">
        <v>36</v>
      </c>
      <c r="H624">
        <v>6250</v>
      </c>
      <c r="I624">
        <v>-5893.98</v>
      </c>
      <c r="J624" t="s">
        <v>212</v>
      </c>
      <c r="K624" t="s">
        <v>53</v>
      </c>
      <c r="L624">
        <v>2023</v>
      </c>
      <c r="M624" t="s">
        <v>1105</v>
      </c>
    </row>
    <row r="625" spans="1:13" x14ac:dyDescent="0.35">
      <c r="A625" t="s">
        <v>1649</v>
      </c>
      <c r="B625" t="s">
        <v>1650</v>
      </c>
      <c r="C625" t="s">
        <v>40</v>
      </c>
      <c r="D625" t="s">
        <v>96</v>
      </c>
      <c r="E625" t="s">
        <v>17</v>
      </c>
      <c r="F625" t="s">
        <v>52</v>
      </c>
      <c r="G625" t="s">
        <v>36</v>
      </c>
      <c r="H625">
        <v>185698</v>
      </c>
      <c r="I625">
        <v>-182203.5</v>
      </c>
      <c r="J625" t="s">
        <v>20</v>
      </c>
      <c r="K625" t="s">
        <v>48</v>
      </c>
      <c r="L625">
        <v>2024</v>
      </c>
      <c r="M625" t="s">
        <v>1651</v>
      </c>
    </row>
    <row r="626" spans="1:13" x14ac:dyDescent="0.35">
      <c r="A626" t="s">
        <v>1652</v>
      </c>
      <c r="B626" t="s">
        <v>1653</v>
      </c>
      <c r="C626" t="s">
        <v>76</v>
      </c>
      <c r="D626" t="s">
        <v>105</v>
      </c>
      <c r="E626" t="s">
        <v>34</v>
      </c>
      <c r="F626" t="s">
        <v>67</v>
      </c>
      <c r="G626" t="s">
        <v>78</v>
      </c>
      <c r="H626">
        <v>138158</v>
      </c>
      <c r="I626">
        <v>8379.4500000000007</v>
      </c>
      <c r="J626" t="s">
        <v>113</v>
      </c>
      <c r="K626" t="s">
        <v>30</v>
      </c>
      <c r="L626">
        <v>2024</v>
      </c>
      <c r="M626" t="s">
        <v>1654</v>
      </c>
    </row>
    <row r="627" spans="1:13" x14ac:dyDescent="0.35">
      <c r="A627" t="s">
        <v>1655</v>
      </c>
      <c r="B627" t="s">
        <v>1656</v>
      </c>
      <c r="C627" t="s">
        <v>76</v>
      </c>
      <c r="D627" t="s">
        <v>77</v>
      </c>
      <c r="E627" t="s">
        <v>138</v>
      </c>
      <c r="F627" t="s">
        <v>208</v>
      </c>
      <c r="G627" t="s">
        <v>19</v>
      </c>
      <c r="H627">
        <v>276399</v>
      </c>
      <c r="I627">
        <v>-8602.67</v>
      </c>
      <c r="J627" t="s">
        <v>29</v>
      </c>
      <c r="K627" t="s">
        <v>30</v>
      </c>
      <c r="L627">
        <v>2023</v>
      </c>
      <c r="M627" t="s">
        <v>1657</v>
      </c>
    </row>
    <row r="628" spans="1:13" x14ac:dyDescent="0.35">
      <c r="A628" t="s">
        <v>1658</v>
      </c>
      <c r="B628" t="s">
        <v>1659</v>
      </c>
      <c r="C628" t="s">
        <v>76</v>
      </c>
      <c r="D628" t="s">
        <v>105</v>
      </c>
      <c r="E628" t="s">
        <v>17</v>
      </c>
      <c r="F628" t="s">
        <v>18</v>
      </c>
      <c r="G628" t="s">
        <v>68</v>
      </c>
      <c r="H628">
        <v>128696</v>
      </c>
      <c r="I628">
        <v>-120884.79</v>
      </c>
      <c r="J628" t="s">
        <v>79</v>
      </c>
      <c r="K628" t="s">
        <v>48</v>
      </c>
      <c r="L628">
        <v>2023</v>
      </c>
      <c r="M628" t="s">
        <v>983</v>
      </c>
    </row>
    <row r="629" spans="1:13" x14ac:dyDescent="0.35">
      <c r="A629" t="s">
        <v>1660</v>
      </c>
      <c r="B629" t="s">
        <v>1661</v>
      </c>
      <c r="C629" t="s">
        <v>25</v>
      </c>
      <c r="D629" t="s">
        <v>149</v>
      </c>
      <c r="E629" t="s">
        <v>17</v>
      </c>
      <c r="F629" t="s">
        <v>112</v>
      </c>
      <c r="G629" t="s">
        <v>78</v>
      </c>
      <c r="H629">
        <v>124395</v>
      </c>
      <c r="I629">
        <v>-105188.29</v>
      </c>
      <c r="J629" t="s">
        <v>97</v>
      </c>
      <c r="K629" t="s">
        <v>53</v>
      </c>
      <c r="L629">
        <v>2022</v>
      </c>
      <c r="M629" t="s">
        <v>1662</v>
      </c>
    </row>
    <row r="630" spans="1:13" x14ac:dyDescent="0.35">
      <c r="A630" t="s">
        <v>1663</v>
      </c>
      <c r="B630" t="s">
        <v>1664</v>
      </c>
      <c r="C630" t="s">
        <v>40</v>
      </c>
      <c r="D630" t="s">
        <v>41</v>
      </c>
      <c r="E630" t="s">
        <v>34</v>
      </c>
      <c r="F630" t="s">
        <v>35</v>
      </c>
      <c r="G630" t="s">
        <v>36</v>
      </c>
      <c r="H630">
        <v>247647</v>
      </c>
      <c r="I630">
        <v>34116.54</v>
      </c>
      <c r="J630" t="s">
        <v>97</v>
      </c>
      <c r="K630" t="s">
        <v>53</v>
      </c>
      <c r="L630">
        <v>2021</v>
      </c>
      <c r="M630" t="s">
        <v>1665</v>
      </c>
    </row>
    <row r="631" spans="1:13" x14ac:dyDescent="0.35">
      <c r="A631" t="s">
        <v>1666</v>
      </c>
      <c r="B631" t="s">
        <v>1667</v>
      </c>
      <c r="C631" t="s">
        <v>40</v>
      </c>
      <c r="D631" t="s">
        <v>66</v>
      </c>
      <c r="E631" t="s">
        <v>34</v>
      </c>
      <c r="F631" t="s">
        <v>58</v>
      </c>
      <c r="G631" t="s">
        <v>19</v>
      </c>
      <c r="H631">
        <v>240867</v>
      </c>
      <c r="I631">
        <v>12854.46</v>
      </c>
      <c r="J631" t="s">
        <v>20</v>
      </c>
      <c r="K631" t="s">
        <v>48</v>
      </c>
      <c r="L631">
        <v>2023</v>
      </c>
      <c r="M631" t="s">
        <v>1668</v>
      </c>
    </row>
    <row r="632" spans="1:13" x14ac:dyDescent="0.35">
      <c r="A632" t="s">
        <v>1669</v>
      </c>
      <c r="B632" t="s">
        <v>1670</v>
      </c>
      <c r="C632" t="s">
        <v>40</v>
      </c>
      <c r="D632" t="s">
        <v>96</v>
      </c>
      <c r="E632" t="s">
        <v>17</v>
      </c>
      <c r="F632" t="s">
        <v>112</v>
      </c>
      <c r="G632" t="s">
        <v>78</v>
      </c>
      <c r="H632">
        <v>56714</v>
      </c>
      <c r="I632">
        <v>-49829.58</v>
      </c>
      <c r="J632" t="s">
        <v>47</v>
      </c>
      <c r="K632" t="s">
        <v>30</v>
      </c>
      <c r="L632">
        <v>2022</v>
      </c>
      <c r="M632" t="s">
        <v>1671</v>
      </c>
    </row>
    <row r="633" spans="1:13" x14ac:dyDescent="0.35">
      <c r="A633" t="s">
        <v>1672</v>
      </c>
      <c r="B633" t="s">
        <v>1673</v>
      </c>
      <c r="C633" t="s">
        <v>76</v>
      </c>
      <c r="D633" t="s">
        <v>77</v>
      </c>
      <c r="E633" t="s">
        <v>17</v>
      </c>
      <c r="F633" t="s">
        <v>72</v>
      </c>
      <c r="G633" t="s">
        <v>36</v>
      </c>
      <c r="H633">
        <v>194833</v>
      </c>
      <c r="I633">
        <v>-141411.82</v>
      </c>
      <c r="J633" t="s">
        <v>97</v>
      </c>
      <c r="K633" t="s">
        <v>48</v>
      </c>
      <c r="L633">
        <v>2022</v>
      </c>
      <c r="M633" t="s">
        <v>1674</v>
      </c>
    </row>
    <row r="634" spans="1:13" x14ac:dyDescent="0.35">
      <c r="A634" t="s">
        <v>1675</v>
      </c>
      <c r="B634" t="s">
        <v>1676</v>
      </c>
      <c r="C634" t="s">
        <v>40</v>
      </c>
      <c r="D634" t="s">
        <v>66</v>
      </c>
      <c r="E634" t="s">
        <v>34</v>
      </c>
      <c r="F634" t="s">
        <v>58</v>
      </c>
      <c r="G634" t="s">
        <v>36</v>
      </c>
      <c r="H634">
        <v>157264</v>
      </c>
      <c r="I634">
        <v>38556.04</v>
      </c>
      <c r="J634" t="s">
        <v>97</v>
      </c>
      <c r="K634" t="s">
        <v>48</v>
      </c>
      <c r="L634">
        <v>2021</v>
      </c>
      <c r="M634" t="s">
        <v>1677</v>
      </c>
    </row>
    <row r="635" spans="1:13" x14ac:dyDescent="0.35">
      <c r="A635" t="s">
        <v>1678</v>
      </c>
      <c r="B635" t="s">
        <v>1679</v>
      </c>
      <c r="C635" t="s">
        <v>40</v>
      </c>
      <c r="D635" t="s">
        <v>66</v>
      </c>
      <c r="E635" t="s">
        <v>17</v>
      </c>
      <c r="F635" t="s">
        <v>52</v>
      </c>
      <c r="G635" t="s">
        <v>36</v>
      </c>
      <c r="H635">
        <v>64239</v>
      </c>
      <c r="I635">
        <v>-54377.18</v>
      </c>
      <c r="J635" t="s">
        <v>20</v>
      </c>
      <c r="K635" t="s">
        <v>53</v>
      </c>
      <c r="L635">
        <v>2022</v>
      </c>
      <c r="M635" t="s">
        <v>1680</v>
      </c>
    </row>
    <row r="636" spans="1:13" x14ac:dyDescent="0.35">
      <c r="A636" t="s">
        <v>1681</v>
      </c>
      <c r="B636" t="s">
        <v>1682</v>
      </c>
      <c r="C636" t="s">
        <v>15</v>
      </c>
      <c r="D636" t="s">
        <v>57</v>
      </c>
      <c r="E636" t="s">
        <v>17</v>
      </c>
      <c r="F636" t="s">
        <v>112</v>
      </c>
      <c r="G636" t="s">
        <v>36</v>
      </c>
      <c r="H636">
        <v>133276</v>
      </c>
      <c r="I636">
        <v>-104168.32000000001</v>
      </c>
      <c r="J636" t="s">
        <v>29</v>
      </c>
      <c r="K636" t="s">
        <v>30</v>
      </c>
      <c r="L636">
        <v>2025</v>
      </c>
      <c r="M636" t="s">
        <v>84</v>
      </c>
    </row>
    <row r="637" spans="1:13" x14ac:dyDescent="0.35">
      <c r="A637" t="s">
        <v>1683</v>
      </c>
      <c r="B637" t="s">
        <v>1579</v>
      </c>
      <c r="C637" t="s">
        <v>15</v>
      </c>
      <c r="D637" t="s">
        <v>57</v>
      </c>
      <c r="E637" t="s">
        <v>34</v>
      </c>
      <c r="F637" t="s">
        <v>67</v>
      </c>
      <c r="G637" t="s">
        <v>68</v>
      </c>
      <c r="H637">
        <v>85206</v>
      </c>
      <c r="I637">
        <v>11201.25</v>
      </c>
      <c r="J637" t="s">
        <v>47</v>
      </c>
      <c r="K637" t="s">
        <v>53</v>
      </c>
      <c r="L637">
        <v>2021</v>
      </c>
      <c r="M637" t="s">
        <v>508</v>
      </c>
    </row>
    <row r="638" spans="1:13" x14ac:dyDescent="0.35">
      <c r="A638" t="s">
        <v>1684</v>
      </c>
      <c r="B638" t="s">
        <v>375</v>
      </c>
      <c r="C638" t="s">
        <v>15</v>
      </c>
      <c r="D638" t="s">
        <v>57</v>
      </c>
      <c r="E638" t="s">
        <v>34</v>
      </c>
      <c r="F638" t="s">
        <v>67</v>
      </c>
      <c r="G638" t="s">
        <v>68</v>
      </c>
      <c r="H638">
        <v>109753</v>
      </c>
      <c r="I638">
        <v>17067.060000000001</v>
      </c>
      <c r="J638" t="s">
        <v>59</v>
      </c>
      <c r="K638" t="s">
        <v>30</v>
      </c>
      <c r="L638">
        <v>2021</v>
      </c>
      <c r="M638" t="s">
        <v>1685</v>
      </c>
    </row>
    <row r="639" spans="1:13" x14ac:dyDescent="0.35">
      <c r="A639" t="s">
        <v>1686</v>
      </c>
      <c r="B639" t="s">
        <v>1687</v>
      </c>
      <c r="C639" t="s">
        <v>76</v>
      </c>
      <c r="D639" t="s">
        <v>77</v>
      </c>
      <c r="E639" t="s">
        <v>34</v>
      </c>
      <c r="F639" t="s">
        <v>101</v>
      </c>
      <c r="G639" t="s">
        <v>78</v>
      </c>
      <c r="H639">
        <v>289430</v>
      </c>
      <c r="I639">
        <v>61803.05</v>
      </c>
      <c r="J639" t="s">
        <v>113</v>
      </c>
      <c r="K639" t="s">
        <v>48</v>
      </c>
      <c r="L639">
        <v>2022</v>
      </c>
      <c r="M639" t="s">
        <v>402</v>
      </c>
    </row>
    <row r="640" spans="1:13" x14ac:dyDescent="0.35">
      <c r="A640" t="s">
        <v>1688</v>
      </c>
      <c r="B640" t="s">
        <v>1689</v>
      </c>
      <c r="C640" t="s">
        <v>15</v>
      </c>
      <c r="D640" t="s">
        <v>57</v>
      </c>
      <c r="E640" t="s">
        <v>17</v>
      </c>
      <c r="F640" t="s">
        <v>112</v>
      </c>
      <c r="G640" t="s">
        <v>68</v>
      </c>
      <c r="H640">
        <v>77202</v>
      </c>
      <c r="I640">
        <v>-70793.5</v>
      </c>
      <c r="J640" t="s">
        <v>212</v>
      </c>
      <c r="K640" t="s">
        <v>53</v>
      </c>
      <c r="L640">
        <v>2024</v>
      </c>
      <c r="M640" t="s">
        <v>1690</v>
      </c>
    </row>
    <row r="641" spans="1:13" x14ac:dyDescent="0.35">
      <c r="A641" t="s">
        <v>1691</v>
      </c>
      <c r="B641" t="s">
        <v>1692</v>
      </c>
      <c r="C641" t="s">
        <v>25</v>
      </c>
      <c r="D641" t="s">
        <v>149</v>
      </c>
      <c r="E641" t="s">
        <v>17</v>
      </c>
      <c r="F641" t="s">
        <v>52</v>
      </c>
      <c r="G641" t="s">
        <v>68</v>
      </c>
      <c r="H641">
        <v>57241</v>
      </c>
      <c r="I641">
        <v>-56276.959999999999</v>
      </c>
      <c r="J641" t="s">
        <v>29</v>
      </c>
      <c r="K641" t="s">
        <v>48</v>
      </c>
      <c r="L641">
        <v>2024</v>
      </c>
      <c r="M641" t="s">
        <v>261</v>
      </c>
    </row>
    <row r="642" spans="1:13" x14ac:dyDescent="0.35">
      <c r="A642" t="s">
        <v>1693</v>
      </c>
      <c r="B642" t="s">
        <v>1694</v>
      </c>
      <c r="C642" t="s">
        <v>15</v>
      </c>
      <c r="D642" t="s">
        <v>16</v>
      </c>
      <c r="E642" t="s">
        <v>17</v>
      </c>
      <c r="F642" t="s">
        <v>18</v>
      </c>
      <c r="G642" t="s">
        <v>36</v>
      </c>
      <c r="H642">
        <v>130438</v>
      </c>
      <c r="I642">
        <v>-110578.98</v>
      </c>
      <c r="J642" t="s">
        <v>20</v>
      </c>
      <c r="K642" t="s">
        <v>53</v>
      </c>
      <c r="L642">
        <v>2022</v>
      </c>
      <c r="M642" t="s">
        <v>1026</v>
      </c>
    </row>
    <row r="643" spans="1:13" x14ac:dyDescent="0.35">
      <c r="A643" t="s">
        <v>1695</v>
      </c>
      <c r="B643" t="s">
        <v>1696</v>
      </c>
      <c r="C643" t="s">
        <v>15</v>
      </c>
      <c r="D643" t="s">
        <v>57</v>
      </c>
      <c r="E643" t="s">
        <v>17</v>
      </c>
      <c r="F643" t="s">
        <v>72</v>
      </c>
      <c r="G643" t="s">
        <v>68</v>
      </c>
      <c r="H643">
        <v>117623</v>
      </c>
      <c r="I643">
        <v>-101351.52</v>
      </c>
      <c r="J643" t="s">
        <v>212</v>
      </c>
      <c r="K643" t="s">
        <v>21</v>
      </c>
      <c r="L643">
        <v>2025</v>
      </c>
      <c r="M643" t="s">
        <v>522</v>
      </c>
    </row>
    <row r="644" spans="1:13" x14ac:dyDescent="0.35">
      <c r="A644" t="s">
        <v>1697</v>
      </c>
      <c r="B644" t="s">
        <v>1698</v>
      </c>
      <c r="C644" t="s">
        <v>76</v>
      </c>
      <c r="D644" t="s">
        <v>171</v>
      </c>
      <c r="E644" t="s">
        <v>34</v>
      </c>
      <c r="F644" t="s">
        <v>58</v>
      </c>
      <c r="G644" t="s">
        <v>19</v>
      </c>
      <c r="H644">
        <v>95645</v>
      </c>
      <c r="I644">
        <v>21395.87</v>
      </c>
      <c r="J644" t="s">
        <v>113</v>
      </c>
      <c r="K644" t="s">
        <v>30</v>
      </c>
      <c r="L644">
        <v>2021</v>
      </c>
      <c r="M644" t="s">
        <v>721</v>
      </c>
    </row>
    <row r="645" spans="1:13" x14ac:dyDescent="0.35">
      <c r="A645" t="s">
        <v>1699</v>
      </c>
      <c r="B645" t="s">
        <v>1700</v>
      </c>
      <c r="C645" t="s">
        <v>40</v>
      </c>
      <c r="D645" t="s">
        <v>41</v>
      </c>
      <c r="E645" t="s">
        <v>17</v>
      </c>
      <c r="F645" t="s">
        <v>52</v>
      </c>
      <c r="G645" t="s">
        <v>68</v>
      </c>
      <c r="H645">
        <v>124772</v>
      </c>
      <c r="I645">
        <v>-113872.82</v>
      </c>
      <c r="J645" t="s">
        <v>20</v>
      </c>
      <c r="K645" t="s">
        <v>30</v>
      </c>
      <c r="L645">
        <v>2021</v>
      </c>
      <c r="M645" t="s">
        <v>1701</v>
      </c>
    </row>
    <row r="646" spans="1:13" x14ac:dyDescent="0.35">
      <c r="A646" t="s">
        <v>1702</v>
      </c>
      <c r="B646" t="s">
        <v>1703</v>
      </c>
      <c r="C646" t="s">
        <v>15</v>
      </c>
      <c r="D646" t="s">
        <v>57</v>
      </c>
      <c r="E646" t="s">
        <v>34</v>
      </c>
      <c r="F646" t="s">
        <v>67</v>
      </c>
      <c r="G646" t="s">
        <v>78</v>
      </c>
      <c r="H646">
        <v>61134</v>
      </c>
      <c r="I646">
        <v>13019.02</v>
      </c>
      <c r="J646" t="s">
        <v>113</v>
      </c>
      <c r="K646" t="s">
        <v>21</v>
      </c>
      <c r="L646">
        <v>2024</v>
      </c>
      <c r="M646" t="s">
        <v>434</v>
      </c>
    </row>
    <row r="647" spans="1:13" x14ac:dyDescent="0.35">
      <c r="A647" t="s">
        <v>1704</v>
      </c>
      <c r="B647" t="s">
        <v>1705</v>
      </c>
      <c r="C647" t="s">
        <v>15</v>
      </c>
      <c r="D647" t="s">
        <v>57</v>
      </c>
      <c r="E647" t="s">
        <v>34</v>
      </c>
      <c r="F647" t="s">
        <v>101</v>
      </c>
      <c r="G647" t="s">
        <v>36</v>
      </c>
      <c r="H647">
        <v>276496</v>
      </c>
      <c r="I647">
        <v>69123.87</v>
      </c>
      <c r="J647" t="s">
        <v>97</v>
      </c>
      <c r="K647" t="s">
        <v>30</v>
      </c>
      <c r="L647">
        <v>2021</v>
      </c>
      <c r="M647" t="s">
        <v>1706</v>
      </c>
    </row>
    <row r="648" spans="1:13" x14ac:dyDescent="0.35">
      <c r="A648" t="s">
        <v>1707</v>
      </c>
      <c r="B648" t="s">
        <v>1708</v>
      </c>
      <c r="C648" t="s">
        <v>40</v>
      </c>
      <c r="D648" t="s">
        <v>66</v>
      </c>
      <c r="E648" t="s">
        <v>17</v>
      </c>
      <c r="F648" t="s">
        <v>42</v>
      </c>
      <c r="G648" t="s">
        <v>36</v>
      </c>
      <c r="H648">
        <v>116588</v>
      </c>
      <c r="I648">
        <v>-109494.22</v>
      </c>
      <c r="J648" t="s">
        <v>212</v>
      </c>
      <c r="K648" t="s">
        <v>48</v>
      </c>
      <c r="L648">
        <v>2022</v>
      </c>
      <c r="M648" t="s">
        <v>517</v>
      </c>
    </row>
    <row r="649" spans="1:13" x14ac:dyDescent="0.35">
      <c r="A649" t="s">
        <v>1709</v>
      </c>
      <c r="B649" t="s">
        <v>1710</v>
      </c>
      <c r="C649" t="s">
        <v>25</v>
      </c>
      <c r="D649" t="s">
        <v>26</v>
      </c>
      <c r="E649" t="s">
        <v>17</v>
      </c>
      <c r="F649" t="s">
        <v>72</v>
      </c>
      <c r="G649" t="s">
        <v>19</v>
      </c>
      <c r="H649">
        <v>135114</v>
      </c>
      <c r="I649">
        <v>-96866.16</v>
      </c>
      <c r="J649" t="s">
        <v>97</v>
      </c>
      <c r="K649" t="s">
        <v>48</v>
      </c>
      <c r="L649">
        <v>2025</v>
      </c>
      <c r="M649" t="s">
        <v>291</v>
      </c>
    </row>
    <row r="650" spans="1:13" x14ac:dyDescent="0.35">
      <c r="A650" t="s">
        <v>1711</v>
      </c>
      <c r="B650" t="s">
        <v>1141</v>
      </c>
      <c r="C650" t="s">
        <v>76</v>
      </c>
      <c r="D650" t="s">
        <v>171</v>
      </c>
      <c r="E650" t="s">
        <v>34</v>
      </c>
      <c r="F650" t="s">
        <v>35</v>
      </c>
      <c r="G650" t="s">
        <v>36</v>
      </c>
      <c r="H650">
        <v>81028</v>
      </c>
      <c r="I650">
        <v>14102.38</v>
      </c>
      <c r="J650" t="s">
        <v>59</v>
      </c>
      <c r="K650" t="s">
        <v>53</v>
      </c>
      <c r="L650">
        <v>2023</v>
      </c>
      <c r="M650" t="s">
        <v>1546</v>
      </c>
    </row>
    <row r="651" spans="1:13" x14ac:dyDescent="0.35">
      <c r="A651" t="s">
        <v>1712</v>
      </c>
      <c r="B651" t="s">
        <v>1498</v>
      </c>
      <c r="C651" t="s">
        <v>25</v>
      </c>
      <c r="D651" t="s">
        <v>26</v>
      </c>
      <c r="E651" t="s">
        <v>34</v>
      </c>
      <c r="F651" t="s">
        <v>35</v>
      </c>
      <c r="G651" t="s">
        <v>36</v>
      </c>
      <c r="H651">
        <v>53212</v>
      </c>
      <c r="I651">
        <v>2880.38</v>
      </c>
      <c r="J651" t="s">
        <v>20</v>
      </c>
      <c r="K651" t="s">
        <v>30</v>
      </c>
      <c r="L651">
        <v>2024</v>
      </c>
      <c r="M651" t="s">
        <v>1713</v>
      </c>
    </row>
    <row r="652" spans="1:13" x14ac:dyDescent="0.35">
      <c r="A652" t="s">
        <v>1714</v>
      </c>
      <c r="B652" t="s">
        <v>1715</v>
      </c>
      <c r="C652" t="s">
        <v>40</v>
      </c>
      <c r="D652" t="s">
        <v>66</v>
      </c>
      <c r="E652" t="s">
        <v>34</v>
      </c>
      <c r="F652" t="s">
        <v>58</v>
      </c>
      <c r="G652" t="s">
        <v>19</v>
      </c>
      <c r="H652">
        <v>215826</v>
      </c>
      <c r="I652">
        <v>16999.25</v>
      </c>
      <c r="J652" t="s">
        <v>79</v>
      </c>
      <c r="K652" t="s">
        <v>48</v>
      </c>
      <c r="L652">
        <v>2023</v>
      </c>
      <c r="M652" t="s">
        <v>1716</v>
      </c>
    </row>
    <row r="653" spans="1:13" x14ac:dyDescent="0.35">
      <c r="A653" t="s">
        <v>1717</v>
      </c>
      <c r="B653" t="s">
        <v>1345</v>
      </c>
      <c r="C653" t="s">
        <v>25</v>
      </c>
      <c r="D653" t="s">
        <v>26</v>
      </c>
      <c r="E653" t="s">
        <v>34</v>
      </c>
      <c r="F653" t="s">
        <v>101</v>
      </c>
      <c r="G653" t="s">
        <v>78</v>
      </c>
      <c r="H653">
        <v>111949</v>
      </c>
      <c r="I653">
        <v>13629.6</v>
      </c>
      <c r="J653" t="s">
        <v>212</v>
      </c>
      <c r="K653" t="s">
        <v>21</v>
      </c>
      <c r="L653">
        <v>2024</v>
      </c>
      <c r="M653" t="s">
        <v>1718</v>
      </c>
    </row>
    <row r="654" spans="1:13" x14ac:dyDescent="0.35">
      <c r="A654" t="s">
        <v>1719</v>
      </c>
      <c r="B654" t="s">
        <v>1342</v>
      </c>
      <c r="C654" t="s">
        <v>25</v>
      </c>
      <c r="D654" t="s">
        <v>149</v>
      </c>
      <c r="E654" t="s">
        <v>17</v>
      </c>
      <c r="F654" t="s">
        <v>42</v>
      </c>
      <c r="G654" t="s">
        <v>19</v>
      </c>
      <c r="H654">
        <v>68202</v>
      </c>
      <c r="I654">
        <v>-50075.56</v>
      </c>
      <c r="J654" t="s">
        <v>29</v>
      </c>
      <c r="K654" t="s">
        <v>53</v>
      </c>
      <c r="L654">
        <v>2025</v>
      </c>
      <c r="M654" t="s">
        <v>249</v>
      </c>
    </row>
    <row r="655" spans="1:13" x14ac:dyDescent="0.35">
      <c r="A655" t="s">
        <v>1720</v>
      </c>
      <c r="B655" t="s">
        <v>1721</v>
      </c>
      <c r="C655" t="s">
        <v>40</v>
      </c>
      <c r="D655" t="s">
        <v>66</v>
      </c>
      <c r="E655" t="s">
        <v>34</v>
      </c>
      <c r="F655" t="s">
        <v>101</v>
      </c>
      <c r="G655" t="s">
        <v>68</v>
      </c>
      <c r="H655">
        <v>154205</v>
      </c>
      <c r="I655">
        <v>19260.57</v>
      </c>
      <c r="J655" t="s">
        <v>29</v>
      </c>
      <c r="K655" t="s">
        <v>48</v>
      </c>
      <c r="L655">
        <v>2021</v>
      </c>
      <c r="M655" t="s">
        <v>803</v>
      </c>
    </row>
    <row r="656" spans="1:13" x14ac:dyDescent="0.35">
      <c r="A656" t="s">
        <v>1722</v>
      </c>
      <c r="B656" t="s">
        <v>1723</v>
      </c>
      <c r="C656" t="s">
        <v>40</v>
      </c>
      <c r="D656" t="s">
        <v>96</v>
      </c>
      <c r="E656" t="s">
        <v>34</v>
      </c>
      <c r="F656" t="s">
        <v>58</v>
      </c>
      <c r="G656" t="s">
        <v>68</v>
      </c>
      <c r="H656">
        <v>199136</v>
      </c>
      <c r="I656">
        <v>11431.65</v>
      </c>
      <c r="J656" t="s">
        <v>212</v>
      </c>
      <c r="K656" t="s">
        <v>21</v>
      </c>
      <c r="L656">
        <v>2022</v>
      </c>
      <c r="M656" t="s">
        <v>970</v>
      </c>
    </row>
    <row r="657" spans="1:13" x14ac:dyDescent="0.35">
      <c r="A657" t="s">
        <v>1724</v>
      </c>
      <c r="B657" t="s">
        <v>1725</v>
      </c>
      <c r="C657" t="s">
        <v>76</v>
      </c>
      <c r="D657" t="s">
        <v>105</v>
      </c>
      <c r="E657" t="s">
        <v>34</v>
      </c>
      <c r="F657" t="s">
        <v>67</v>
      </c>
      <c r="G657" t="s">
        <v>36</v>
      </c>
      <c r="H657">
        <v>183499</v>
      </c>
      <c r="I657">
        <v>40119.339999999997</v>
      </c>
      <c r="J657" t="s">
        <v>97</v>
      </c>
      <c r="K657" t="s">
        <v>53</v>
      </c>
      <c r="L657">
        <v>2025</v>
      </c>
      <c r="M657" t="s">
        <v>276</v>
      </c>
    </row>
    <row r="658" spans="1:13" x14ac:dyDescent="0.35">
      <c r="A658" t="s">
        <v>1726</v>
      </c>
      <c r="B658" t="s">
        <v>1727</v>
      </c>
      <c r="C658" t="s">
        <v>15</v>
      </c>
      <c r="D658" t="s">
        <v>57</v>
      </c>
      <c r="E658" t="s">
        <v>34</v>
      </c>
      <c r="F658" t="s">
        <v>35</v>
      </c>
      <c r="G658" t="s">
        <v>36</v>
      </c>
      <c r="H658">
        <v>74386</v>
      </c>
      <c r="I658">
        <v>17098.73</v>
      </c>
      <c r="J658" t="s">
        <v>59</v>
      </c>
      <c r="K658" t="s">
        <v>53</v>
      </c>
      <c r="L658">
        <v>2025</v>
      </c>
      <c r="M658" t="s">
        <v>1728</v>
      </c>
    </row>
    <row r="659" spans="1:13" x14ac:dyDescent="0.35">
      <c r="A659" t="s">
        <v>1729</v>
      </c>
      <c r="B659" t="s">
        <v>1730</v>
      </c>
      <c r="C659" t="s">
        <v>15</v>
      </c>
      <c r="D659" t="s">
        <v>46</v>
      </c>
      <c r="E659" t="s">
        <v>34</v>
      </c>
      <c r="F659" t="s">
        <v>101</v>
      </c>
      <c r="G659" t="s">
        <v>19</v>
      </c>
      <c r="H659">
        <v>59817</v>
      </c>
      <c r="I659">
        <v>9247.11</v>
      </c>
      <c r="J659" t="s">
        <v>59</v>
      </c>
      <c r="K659" t="s">
        <v>30</v>
      </c>
      <c r="L659">
        <v>2025</v>
      </c>
      <c r="M659" t="s">
        <v>1731</v>
      </c>
    </row>
    <row r="660" spans="1:13" x14ac:dyDescent="0.35">
      <c r="A660" t="s">
        <v>1732</v>
      </c>
      <c r="B660" t="s">
        <v>1733</v>
      </c>
      <c r="C660" t="s">
        <v>25</v>
      </c>
      <c r="D660" t="s">
        <v>149</v>
      </c>
      <c r="E660" t="s">
        <v>34</v>
      </c>
      <c r="F660" t="s">
        <v>101</v>
      </c>
      <c r="G660" t="s">
        <v>36</v>
      </c>
      <c r="H660">
        <v>121842</v>
      </c>
      <c r="I660">
        <v>15753.6</v>
      </c>
      <c r="J660" t="s">
        <v>20</v>
      </c>
      <c r="K660" t="s">
        <v>30</v>
      </c>
      <c r="L660">
        <v>2022</v>
      </c>
      <c r="M660" t="s">
        <v>216</v>
      </c>
    </row>
    <row r="661" spans="1:13" x14ac:dyDescent="0.35">
      <c r="A661" t="s">
        <v>1734</v>
      </c>
      <c r="B661" t="s">
        <v>1735</v>
      </c>
      <c r="C661" t="s">
        <v>40</v>
      </c>
      <c r="D661" t="s">
        <v>66</v>
      </c>
      <c r="E661" t="s">
        <v>17</v>
      </c>
      <c r="F661" t="s">
        <v>18</v>
      </c>
      <c r="G661" t="s">
        <v>36</v>
      </c>
      <c r="H661">
        <v>163793</v>
      </c>
      <c r="I661">
        <v>-134546.26999999999</v>
      </c>
      <c r="J661" t="s">
        <v>79</v>
      </c>
      <c r="K661" t="s">
        <v>30</v>
      </c>
      <c r="L661">
        <v>2023</v>
      </c>
      <c r="M661" t="s">
        <v>1736</v>
      </c>
    </row>
    <row r="662" spans="1:13" x14ac:dyDescent="0.35">
      <c r="A662" t="s">
        <v>1737</v>
      </c>
      <c r="B662" t="s">
        <v>1738</v>
      </c>
      <c r="C662" t="s">
        <v>25</v>
      </c>
      <c r="D662" t="s">
        <v>83</v>
      </c>
      <c r="E662" t="s">
        <v>138</v>
      </c>
      <c r="F662" t="s">
        <v>208</v>
      </c>
      <c r="G662" t="s">
        <v>78</v>
      </c>
      <c r="H662">
        <v>468979</v>
      </c>
      <c r="I662">
        <v>-69886.23</v>
      </c>
      <c r="J662" t="s">
        <v>59</v>
      </c>
      <c r="K662" t="s">
        <v>21</v>
      </c>
      <c r="L662">
        <v>2024</v>
      </c>
      <c r="M662" t="s">
        <v>1739</v>
      </c>
    </row>
    <row r="663" spans="1:13" x14ac:dyDescent="0.35">
      <c r="A663" t="s">
        <v>1740</v>
      </c>
      <c r="B663" t="s">
        <v>1741</v>
      </c>
      <c r="C663" t="s">
        <v>40</v>
      </c>
      <c r="D663" t="s">
        <v>96</v>
      </c>
      <c r="E663" t="s">
        <v>34</v>
      </c>
      <c r="F663" t="s">
        <v>67</v>
      </c>
      <c r="G663" t="s">
        <v>78</v>
      </c>
      <c r="H663">
        <v>284203</v>
      </c>
      <c r="I663">
        <v>27649.919999999998</v>
      </c>
      <c r="J663" t="s">
        <v>212</v>
      </c>
      <c r="K663" t="s">
        <v>21</v>
      </c>
      <c r="L663">
        <v>2024</v>
      </c>
      <c r="M663" t="s">
        <v>1742</v>
      </c>
    </row>
    <row r="664" spans="1:13" x14ac:dyDescent="0.35">
      <c r="A664" t="s">
        <v>1743</v>
      </c>
      <c r="B664" t="s">
        <v>1744</v>
      </c>
      <c r="C664" t="s">
        <v>76</v>
      </c>
      <c r="D664" t="s">
        <v>171</v>
      </c>
      <c r="E664" t="s">
        <v>34</v>
      </c>
      <c r="F664" t="s">
        <v>67</v>
      </c>
      <c r="G664" t="s">
        <v>68</v>
      </c>
      <c r="H664">
        <v>91997</v>
      </c>
      <c r="I664">
        <v>19564.98</v>
      </c>
      <c r="J664" t="s">
        <v>212</v>
      </c>
      <c r="K664" t="s">
        <v>48</v>
      </c>
      <c r="L664">
        <v>2022</v>
      </c>
      <c r="M664" t="s">
        <v>1745</v>
      </c>
    </row>
    <row r="665" spans="1:13" x14ac:dyDescent="0.35">
      <c r="A665" t="s">
        <v>1746</v>
      </c>
      <c r="B665" t="s">
        <v>1747</v>
      </c>
      <c r="C665" t="s">
        <v>76</v>
      </c>
      <c r="D665" t="s">
        <v>105</v>
      </c>
      <c r="E665" t="s">
        <v>17</v>
      </c>
      <c r="F665" t="s">
        <v>72</v>
      </c>
      <c r="G665" t="s">
        <v>68</v>
      </c>
      <c r="H665">
        <v>105333</v>
      </c>
      <c r="I665">
        <v>-100980.69</v>
      </c>
      <c r="J665" t="s">
        <v>212</v>
      </c>
      <c r="K665" t="s">
        <v>53</v>
      </c>
      <c r="L665">
        <v>2021</v>
      </c>
      <c r="M665" t="s">
        <v>660</v>
      </c>
    </row>
    <row r="666" spans="1:13" x14ac:dyDescent="0.35">
      <c r="A666" t="s">
        <v>1748</v>
      </c>
      <c r="B666" t="s">
        <v>731</v>
      </c>
      <c r="C666" t="s">
        <v>76</v>
      </c>
      <c r="D666" t="s">
        <v>105</v>
      </c>
      <c r="E666" t="s">
        <v>34</v>
      </c>
      <c r="F666" t="s">
        <v>67</v>
      </c>
      <c r="G666" t="s">
        <v>36</v>
      </c>
      <c r="H666">
        <v>239247</v>
      </c>
      <c r="I666">
        <v>31960.01</v>
      </c>
      <c r="J666" t="s">
        <v>29</v>
      </c>
      <c r="K666" t="s">
        <v>48</v>
      </c>
      <c r="L666">
        <v>2021</v>
      </c>
      <c r="M666" t="s">
        <v>1564</v>
      </c>
    </row>
    <row r="667" spans="1:13" x14ac:dyDescent="0.35">
      <c r="A667" t="s">
        <v>1749</v>
      </c>
      <c r="B667" t="s">
        <v>810</v>
      </c>
      <c r="C667" t="s">
        <v>25</v>
      </c>
      <c r="D667" t="s">
        <v>83</v>
      </c>
      <c r="E667" t="s">
        <v>17</v>
      </c>
      <c r="F667" t="s">
        <v>18</v>
      </c>
      <c r="G667" t="s">
        <v>36</v>
      </c>
      <c r="H667">
        <v>162710</v>
      </c>
      <c r="I667">
        <v>-117547.58</v>
      </c>
      <c r="J667" t="s">
        <v>29</v>
      </c>
      <c r="K667" t="s">
        <v>30</v>
      </c>
      <c r="L667">
        <v>2023</v>
      </c>
      <c r="M667" t="s">
        <v>1015</v>
      </c>
    </row>
    <row r="668" spans="1:13" x14ac:dyDescent="0.35">
      <c r="A668" t="s">
        <v>1750</v>
      </c>
      <c r="B668" t="s">
        <v>1751</v>
      </c>
      <c r="C668" t="s">
        <v>76</v>
      </c>
      <c r="D668" t="s">
        <v>105</v>
      </c>
      <c r="E668" t="s">
        <v>17</v>
      </c>
      <c r="F668" t="s">
        <v>52</v>
      </c>
      <c r="G668" t="s">
        <v>78</v>
      </c>
      <c r="H668">
        <v>111720</v>
      </c>
      <c r="I668">
        <v>-83225.91</v>
      </c>
      <c r="J668" t="s">
        <v>212</v>
      </c>
      <c r="K668" t="s">
        <v>30</v>
      </c>
      <c r="L668">
        <v>2024</v>
      </c>
      <c r="M668" t="s">
        <v>1752</v>
      </c>
    </row>
    <row r="669" spans="1:13" x14ac:dyDescent="0.35">
      <c r="A669" t="s">
        <v>1753</v>
      </c>
      <c r="B669" t="s">
        <v>1754</v>
      </c>
      <c r="C669" t="s">
        <v>25</v>
      </c>
      <c r="D669" t="s">
        <v>83</v>
      </c>
      <c r="E669" t="s">
        <v>17</v>
      </c>
      <c r="F669" t="s">
        <v>72</v>
      </c>
      <c r="G669" t="s">
        <v>68</v>
      </c>
      <c r="H669">
        <v>85307</v>
      </c>
      <c r="I669">
        <v>-70175.62</v>
      </c>
      <c r="J669" t="s">
        <v>97</v>
      </c>
      <c r="K669" t="s">
        <v>30</v>
      </c>
      <c r="L669">
        <v>2024</v>
      </c>
      <c r="M669" t="s">
        <v>1755</v>
      </c>
    </row>
    <row r="670" spans="1:13" x14ac:dyDescent="0.35">
      <c r="A670" t="s">
        <v>1756</v>
      </c>
      <c r="B670" t="s">
        <v>499</v>
      </c>
      <c r="C670" t="s">
        <v>40</v>
      </c>
      <c r="D670" t="s">
        <v>96</v>
      </c>
      <c r="E670" t="s">
        <v>17</v>
      </c>
      <c r="F670" t="s">
        <v>18</v>
      </c>
      <c r="G670" t="s">
        <v>78</v>
      </c>
      <c r="H670">
        <v>132057</v>
      </c>
      <c r="I670">
        <v>-94323.65</v>
      </c>
      <c r="J670" t="s">
        <v>79</v>
      </c>
      <c r="K670" t="s">
        <v>53</v>
      </c>
      <c r="L670">
        <v>2025</v>
      </c>
      <c r="M670" t="s">
        <v>297</v>
      </c>
    </row>
    <row r="671" spans="1:13" x14ac:dyDescent="0.35">
      <c r="A671" t="s">
        <v>1757</v>
      </c>
      <c r="B671" t="s">
        <v>1758</v>
      </c>
      <c r="C671" t="s">
        <v>15</v>
      </c>
      <c r="D671" t="s">
        <v>46</v>
      </c>
      <c r="E671" t="s">
        <v>34</v>
      </c>
      <c r="F671" t="s">
        <v>67</v>
      </c>
      <c r="G671" t="s">
        <v>78</v>
      </c>
      <c r="H671">
        <v>207410</v>
      </c>
      <c r="I671">
        <v>13622.39</v>
      </c>
      <c r="J671" t="s">
        <v>212</v>
      </c>
      <c r="K671" t="s">
        <v>30</v>
      </c>
      <c r="L671">
        <v>2023</v>
      </c>
      <c r="M671" t="s">
        <v>508</v>
      </c>
    </row>
    <row r="672" spans="1:13" x14ac:dyDescent="0.35">
      <c r="A672" t="s">
        <v>1759</v>
      </c>
      <c r="B672" t="s">
        <v>1760</v>
      </c>
      <c r="C672" t="s">
        <v>40</v>
      </c>
      <c r="D672" t="s">
        <v>66</v>
      </c>
      <c r="E672" t="s">
        <v>17</v>
      </c>
      <c r="F672" t="s">
        <v>52</v>
      </c>
      <c r="G672" t="s">
        <v>36</v>
      </c>
      <c r="H672">
        <v>98145</v>
      </c>
      <c r="I672">
        <v>-79201.06</v>
      </c>
      <c r="J672" t="s">
        <v>97</v>
      </c>
      <c r="K672" t="s">
        <v>30</v>
      </c>
      <c r="L672">
        <v>2023</v>
      </c>
      <c r="M672" t="s">
        <v>240</v>
      </c>
    </row>
    <row r="673" spans="1:13" x14ac:dyDescent="0.35">
      <c r="A673" t="s">
        <v>1761</v>
      </c>
      <c r="B673" t="s">
        <v>1762</v>
      </c>
      <c r="C673" t="s">
        <v>25</v>
      </c>
      <c r="D673" t="s">
        <v>149</v>
      </c>
      <c r="E673" t="s">
        <v>17</v>
      </c>
      <c r="F673" t="s">
        <v>72</v>
      </c>
      <c r="G673" t="s">
        <v>36</v>
      </c>
      <c r="H673">
        <v>123500</v>
      </c>
      <c r="I673">
        <v>-115249.91</v>
      </c>
      <c r="J673" t="s">
        <v>79</v>
      </c>
      <c r="K673" t="s">
        <v>21</v>
      </c>
      <c r="L673">
        <v>2021</v>
      </c>
      <c r="M673" t="s">
        <v>1763</v>
      </c>
    </row>
    <row r="674" spans="1:13" x14ac:dyDescent="0.35">
      <c r="A674" t="s">
        <v>1764</v>
      </c>
      <c r="B674" t="s">
        <v>1765</v>
      </c>
      <c r="C674" t="s">
        <v>76</v>
      </c>
      <c r="D674" t="s">
        <v>171</v>
      </c>
      <c r="E674" t="s">
        <v>17</v>
      </c>
      <c r="F674" t="s">
        <v>52</v>
      </c>
      <c r="G674" t="s">
        <v>68</v>
      </c>
      <c r="H674">
        <v>186992</v>
      </c>
      <c r="I674">
        <v>-143989.07999999999</v>
      </c>
      <c r="J674" t="s">
        <v>47</v>
      </c>
      <c r="K674" t="s">
        <v>30</v>
      </c>
      <c r="L674">
        <v>2025</v>
      </c>
      <c r="M674" t="s">
        <v>1766</v>
      </c>
    </row>
    <row r="675" spans="1:13" x14ac:dyDescent="0.35">
      <c r="A675" t="s">
        <v>1767</v>
      </c>
      <c r="B675" t="s">
        <v>1768</v>
      </c>
      <c r="C675" t="s">
        <v>40</v>
      </c>
      <c r="D675" t="s">
        <v>66</v>
      </c>
      <c r="E675" t="s">
        <v>17</v>
      </c>
      <c r="F675" t="s">
        <v>18</v>
      </c>
      <c r="G675" t="s">
        <v>68</v>
      </c>
      <c r="H675">
        <v>190382</v>
      </c>
      <c r="I675">
        <v>-180488.61</v>
      </c>
      <c r="J675" t="s">
        <v>47</v>
      </c>
      <c r="K675" t="s">
        <v>53</v>
      </c>
      <c r="L675">
        <v>2023</v>
      </c>
      <c r="M675" t="s">
        <v>1769</v>
      </c>
    </row>
    <row r="676" spans="1:13" x14ac:dyDescent="0.35">
      <c r="A676" t="s">
        <v>1770</v>
      </c>
      <c r="B676" t="s">
        <v>1771</v>
      </c>
      <c r="C676" t="s">
        <v>40</v>
      </c>
      <c r="D676" t="s">
        <v>41</v>
      </c>
      <c r="E676" t="s">
        <v>17</v>
      </c>
      <c r="F676" t="s">
        <v>18</v>
      </c>
      <c r="G676" t="s">
        <v>36</v>
      </c>
      <c r="H676">
        <v>76265</v>
      </c>
      <c r="I676">
        <v>-67663.48</v>
      </c>
      <c r="J676" t="s">
        <v>113</v>
      </c>
      <c r="K676" t="s">
        <v>21</v>
      </c>
      <c r="L676">
        <v>2021</v>
      </c>
      <c r="M676" t="s">
        <v>758</v>
      </c>
    </row>
    <row r="677" spans="1:13" x14ac:dyDescent="0.35">
      <c r="A677" t="s">
        <v>1772</v>
      </c>
      <c r="B677" t="s">
        <v>1773</v>
      </c>
      <c r="C677" t="s">
        <v>25</v>
      </c>
      <c r="D677" t="s">
        <v>83</v>
      </c>
      <c r="E677" t="s">
        <v>27</v>
      </c>
      <c r="F677" t="s">
        <v>379</v>
      </c>
      <c r="G677" t="s">
        <v>19</v>
      </c>
      <c r="H677">
        <v>985847</v>
      </c>
      <c r="I677">
        <v>68419.87</v>
      </c>
      <c r="J677" t="s">
        <v>79</v>
      </c>
      <c r="K677" t="s">
        <v>21</v>
      </c>
      <c r="L677">
        <v>2021</v>
      </c>
      <c r="M677" t="s">
        <v>1774</v>
      </c>
    </row>
    <row r="678" spans="1:13" x14ac:dyDescent="0.35">
      <c r="A678" t="s">
        <v>1775</v>
      </c>
      <c r="B678" t="s">
        <v>1776</v>
      </c>
      <c r="C678" t="s">
        <v>40</v>
      </c>
      <c r="D678" t="s">
        <v>66</v>
      </c>
      <c r="E678" t="s">
        <v>34</v>
      </c>
      <c r="F678" t="s">
        <v>35</v>
      </c>
      <c r="G678" t="s">
        <v>36</v>
      </c>
      <c r="H678">
        <v>278203</v>
      </c>
      <c r="I678">
        <v>36253.160000000003</v>
      </c>
      <c r="J678" t="s">
        <v>113</v>
      </c>
      <c r="K678" t="s">
        <v>48</v>
      </c>
      <c r="L678">
        <v>2025</v>
      </c>
      <c r="M678" t="s">
        <v>1777</v>
      </c>
    </row>
    <row r="679" spans="1:13" x14ac:dyDescent="0.35">
      <c r="A679" t="s">
        <v>1778</v>
      </c>
      <c r="B679" t="s">
        <v>1779</v>
      </c>
      <c r="C679" t="s">
        <v>25</v>
      </c>
      <c r="D679" t="s">
        <v>83</v>
      </c>
      <c r="E679" t="s">
        <v>34</v>
      </c>
      <c r="F679" t="s">
        <v>101</v>
      </c>
      <c r="G679" t="s">
        <v>68</v>
      </c>
      <c r="H679">
        <v>30117</v>
      </c>
      <c r="I679">
        <v>5928.91</v>
      </c>
      <c r="J679" t="s">
        <v>47</v>
      </c>
      <c r="K679" t="s">
        <v>30</v>
      </c>
      <c r="L679">
        <v>2022</v>
      </c>
      <c r="M679" t="s">
        <v>866</v>
      </c>
    </row>
    <row r="680" spans="1:13" x14ac:dyDescent="0.35">
      <c r="A680" t="s">
        <v>1780</v>
      </c>
      <c r="B680" t="s">
        <v>1781</v>
      </c>
      <c r="C680" t="s">
        <v>76</v>
      </c>
      <c r="D680" t="s">
        <v>77</v>
      </c>
      <c r="E680" t="s">
        <v>34</v>
      </c>
      <c r="F680" t="s">
        <v>35</v>
      </c>
      <c r="G680" t="s">
        <v>36</v>
      </c>
      <c r="H680">
        <v>93593</v>
      </c>
      <c r="I680">
        <v>15919.05</v>
      </c>
      <c r="J680" t="s">
        <v>59</v>
      </c>
      <c r="K680" t="s">
        <v>53</v>
      </c>
      <c r="L680">
        <v>2024</v>
      </c>
      <c r="M680" t="s">
        <v>1782</v>
      </c>
    </row>
    <row r="681" spans="1:13" x14ac:dyDescent="0.35">
      <c r="A681" t="s">
        <v>1783</v>
      </c>
      <c r="B681" t="s">
        <v>1784</v>
      </c>
      <c r="C681" t="s">
        <v>25</v>
      </c>
      <c r="D681" t="s">
        <v>26</v>
      </c>
      <c r="E681" t="s">
        <v>34</v>
      </c>
      <c r="F681" t="s">
        <v>58</v>
      </c>
      <c r="G681" t="s">
        <v>78</v>
      </c>
      <c r="H681">
        <v>283318</v>
      </c>
      <c r="I681">
        <v>30497.27</v>
      </c>
      <c r="J681" t="s">
        <v>79</v>
      </c>
      <c r="K681" t="s">
        <v>21</v>
      </c>
      <c r="L681">
        <v>2023</v>
      </c>
      <c r="M681" t="s">
        <v>1785</v>
      </c>
    </row>
    <row r="682" spans="1:13" x14ac:dyDescent="0.35">
      <c r="A682" t="s">
        <v>1786</v>
      </c>
      <c r="B682" t="s">
        <v>1440</v>
      </c>
      <c r="C682" t="s">
        <v>76</v>
      </c>
      <c r="D682" t="s">
        <v>105</v>
      </c>
      <c r="E682" t="s">
        <v>17</v>
      </c>
      <c r="F682" t="s">
        <v>18</v>
      </c>
      <c r="G682" t="s">
        <v>36</v>
      </c>
      <c r="H682">
        <v>87036</v>
      </c>
      <c r="I682">
        <v>-70488.570000000007</v>
      </c>
      <c r="J682" t="s">
        <v>97</v>
      </c>
      <c r="K682" t="s">
        <v>53</v>
      </c>
      <c r="L682">
        <v>2022</v>
      </c>
      <c r="M682" t="s">
        <v>1275</v>
      </c>
    </row>
    <row r="683" spans="1:13" x14ac:dyDescent="0.35">
      <c r="A683" t="s">
        <v>1787</v>
      </c>
      <c r="B683" t="s">
        <v>290</v>
      </c>
      <c r="C683" t="s">
        <v>25</v>
      </c>
      <c r="D683" t="s">
        <v>83</v>
      </c>
      <c r="E683" t="s">
        <v>34</v>
      </c>
      <c r="F683" t="s">
        <v>35</v>
      </c>
      <c r="G683" t="s">
        <v>36</v>
      </c>
      <c r="H683">
        <v>89045</v>
      </c>
      <c r="I683">
        <v>19326.189999999999</v>
      </c>
      <c r="J683" t="s">
        <v>212</v>
      </c>
      <c r="K683" t="s">
        <v>30</v>
      </c>
      <c r="L683">
        <v>2025</v>
      </c>
      <c r="M683" t="s">
        <v>1034</v>
      </c>
    </row>
    <row r="684" spans="1:13" x14ac:dyDescent="0.35">
      <c r="A684" t="s">
        <v>1788</v>
      </c>
      <c r="B684" t="s">
        <v>1789</v>
      </c>
      <c r="C684" t="s">
        <v>25</v>
      </c>
      <c r="D684" t="s">
        <v>83</v>
      </c>
      <c r="E684" t="s">
        <v>34</v>
      </c>
      <c r="F684" t="s">
        <v>67</v>
      </c>
      <c r="G684" t="s">
        <v>68</v>
      </c>
      <c r="H684">
        <v>280131</v>
      </c>
      <c r="I684">
        <v>38929.89</v>
      </c>
      <c r="J684" t="s">
        <v>29</v>
      </c>
      <c r="K684" t="s">
        <v>48</v>
      </c>
      <c r="L684">
        <v>2024</v>
      </c>
      <c r="M684" t="s">
        <v>1790</v>
      </c>
    </row>
    <row r="685" spans="1:13" x14ac:dyDescent="0.35">
      <c r="A685" t="s">
        <v>1791</v>
      </c>
      <c r="B685" t="s">
        <v>1097</v>
      </c>
      <c r="C685" t="s">
        <v>76</v>
      </c>
      <c r="D685" t="s">
        <v>105</v>
      </c>
      <c r="E685" t="s">
        <v>34</v>
      </c>
      <c r="F685" t="s">
        <v>67</v>
      </c>
      <c r="G685" t="s">
        <v>68</v>
      </c>
      <c r="H685">
        <v>154419</v>
      </c>
      <c r="I685">
        <v>22428.99</v>
      </c>
      <c r="J685" t="s">
        <v>97</v>
      </c>
      <c r="K685" t="s">
        <v>48</v>
      </c>
      <c r="L685">
        <v>2023</v>
      </c>
      <c r="M685" t="s">
        <v>1792</v>
      </c>
    </row>
    <row r="686" spans="1:13" x14ac:dyDescent="0.35">
      <c r="A686" t="s">
        <v>1793</v>
      </c>
      <c r="B686" t="s">
        <v>1794</v>
      </c>
      <c r="C686" t="s">
        <v>25</v>
      </c>
      <c r="D686" t="s">
        <v>149</v>
      </c>
      <c r="E686" t="s">
        <v>17</v>
      </c>
      <c r="F686" t="s">
        <v>52</v>
      </c>
      <c r="G686" t="s">
        <v>19</v>
      </c>
      <c r="H686">
        <v>51568</v>
      </c>
      <c r="I686">
        <v>-50535.5</v>
      </c>
      <c r="J686" t="s">
        <v>212</v>
      </c>
      <c r="K686" t="s">
        <v>21</v>
      </c>
      <c r="L686">
        <v>2021</v>
      </c>
      <c r="M686" t="s">
        <v>311</v>
      </c>
    </row>
    <row r="687" spans="1:13" x14ac:dyDescent="0.35">
      <c r="A687" t="s">
        <v>1795</v>
      </c>
      <c r="B687" t="s">
        <v>1796</v>
      </c>
      <c r="C687" t="s">
        <v>15</v>
      </c>
      <c r="D687" t="s">
        <v>16</v>
      </c>
      <c r="E687" t="s">
        <v>34</v>
      </c>
      <c r="F687" t="s">
        <v>58</v>
      </c>
      <c r="G687" t="s">
        <v>78</v>
      </c>
      <c r="H687">
        <v>283561</v>
      </c>
      <c r="I687">
        <v>59864.53</v>
      </c>
      <c r="J687" t="s">
        <v>79</v>
      </c>
      <c r="K687" t="s">
        <v>30</v>
      </c>
      <c r="L687">
        <v>2021</v>
      </c>
      <c r="M687" t="s">
        <v>1797</v>
      </c>
    </row>
    <row r="688" spans="1:13" x14ac:dyDescent="0.35">
      <c r="A688" t="s">
        <v>1798</v>
      </c>
      <c r="B688" t="s">
        <v>1799</v>
      </c>
      <c r="C688" t="s">
        <v>76</v>
      </c>
      <c r="D688" t="s">
        <v>105</v>
      </c>
      <c r="E688" t="s">
        <v>34</v>
      </c>
      <c r="F688" t="s">
        <v>35</v>
      </c>
      <c r="G688" t="s">
        <v>19</v>
      </c>
      <c r="H688">
        <v>159700</v>
      </c>
      <c r="I688">
        <v>31617.96</v>
      </c>
      <c r="J688" t="s">
        <v>59</v>
      </c>
      <c r="K688" t="s">
        <v>30</v>
      </c>
      <c r="L688">
        <v>2022</v>
      </c>
      <c r="M688" t="s">
        <v>1800</v>
      </c>
    </row>
    <row r="689" spans="1:13" x14ac:dyDescent="0.35">
      <c r="A689" t="s">
        <v>1801</v>
      </c>
      <c r="B689" t="s">
        <v>1802</v>
      </c>
      <c r="C689" t="s">
        <v>25</v>
      </c>
      <c r="D689" t="s">
        <v>149</v>
      </c>
      <c r="E689" t="s">
        <v>34</v>
      </c>
      <c r="F689" t="s">
        <v>101</v>
      </c>
      <c r="G689" t="s">
        <v>78</v>
      </c>
      <c r="H689">
        <v>44879</v>
      </c>
      <c r="I689">
        <v>10895.03</v>
      </c>
      <c r="J689" t="s">
        <v>113</v>
      </c>
      <c r="K689" t="s">
        <v>30</v>
      </c>
      <c r="L689">
        <v>2021</v>
      </c>
      <c r="M689" t="s">
        <v>1803</v>
      </c>
    </row>
    <row r="690" spans="1:13" x14ac:dyDescent="0.35">
      <c r="A690" t="s">
        <v>1804</v>
      </c>
      <c r="B690" t="s">
        <v>1805</v>
      </c>
      <c r="C690" t="s">
        <v>25</v>
      </c>
      <c r="D690" t="s">
        <v>83</v>
      </c>
      <c r="E690" t="s">
        <v>34</v>
      </c>
      <c r="F690" t="s">
        <v>101</v>
      </c>
      <c r="G690" t="s">
        <v>36</v>
      </c>
      <c r="H690">
        <v>252422</v>
      </c>
      <c r="I690">
        <v>22786.27</v>
      </c>
      <c r="J690" t="s">
        <v>47</v>
      </c>
      <c r="K690" t="s">
        <v>53</v>
      </c>
      <c r="L690">
        <v>2024</v>
      </c>
      <c r="M690" t="s">
        <v>1806</v>
      </c>
    </row>
    <row r="691" spans="1:13" x14ac:dyDescent="0.35">
      <c r="A691" t="s">
        <v>1807</v>
      </c>
      <c r="B691" t="s">
        <v>653</v>
      </c>
      <c r="C691" t="s">
        <v>40</v>
      </c>
      <c r="D691" t="s">
        <v>96</v>
      </c>
      <c r="E691" t="s">
        <v>17</v>
      </c>
      <c r="F691" t="s">
        <v>42</v>
      </c>
      <c r="G691" t="s">
        <v>68</v>
      </c>
      <c r="H691">
        <v>88372</v>
      </c>
      <c r="I691">
        <v>-68187.199999999997</v>
      </c>
      <c r="J691" t="s">
        <v>79</v>
      </c>
      <c r="K691" t="s">
        <v>30</v>
      </c>
      <c r="L691">
        <v>2021</v>
      </c>
      <c r="M691" t="s">
        <v>1808</v>
      </c>
    </row>
    <row r="692" spans="1:13" x14ac:dyDescent="0.35">
      <c r="A692" t="s">
        <v>1809</v>
      </c>
      <c r="B692" t="s">
        <v>1480</v>
      </c>
      <c r="C692" t="s">
        <v>76</v>
      </c>
      <c r="D692" t="s">
        <v>105</v>
      </c>
      <c r="E692" t="s">
        <v>34</v>
      </c>
      <c r="F692" t="s">
        <v>67</v>
      </c>
      <c r="G692" t="s">
        <v>19</v>
      </c>
      <c r="H692">
        <v>172230</v>
      </c>
      <c r="I692">
        <v>28290.2</v>
      </c>
      <c r="J692" t="s">
        <v>29</v>
      </c>
      <c r="K692" t="s">
        <v>30</v>
      </c>
      <c r="L692">
        <v>2025</v>
      </c>
      <c r="M692" t="s">
        <v>1810</v>
      </c>
    </row>
    <row r="693" spans="1:13" x14ac:dyDescent="0.35">
      <c r="A693" t="s">
        <v>1811</v>
      </c>
      <c r="B693" t="s">
        <v>1812</v>
      </c>
      <c r="C693" t="s">
        <v>25</v>
      </c>
      <c r="D693" t="s">
        <v>149</v>
      </c>
      <c r="E693" t="s">
        <v>34</v>
      </c>
      <c r="F693" t="s">
        <v>101</v>
      </c>
      <c r="G693" t="s">
        <v>19</v>
      </c>
      <c r="H693">
        <v>118324</v>
      </c>
      <c r="I693">
        <v>15489.96</v>
      </c>
      <c r="J693" t="s">
        <v>113</v>
      </c>
      <c r="K693" t="s">
        <v>30</v>
      </c>
      <c r="L693">
        <v>2021</v>
      </c>
      <c r="M693" t="s">
        <v>1422</v>
      </c>
    </row>
    <row r="694" spans="1:13" x14ac:dyDescent="0.35">
      <c r="A694" t="s">
        <v>1813</v>
      </c>
      <c r="B694" t="s">
        <v>1814</v>
      </c>
      <c r="C694" t="s">
        <v>76</v>
      </c>
      <c r="D694" t="s">
        <v>105</v>
      </c>
      <c r="E694" t="s">
        <v>34</v>
      </c>
      <c r="F694" t="s">
        <v>67</v>
      </c>
      <c r="G694" t="s">
        <v>78</v>
      </c>
      <c r="H694">
        <v>49529</v>
      </c>
      <c r="I694">
        <v>11807.72</v>
      </c>
      <c r="J694" t="s">
        <v>113</v>
      </c>
      <c r="K694" t="s">
        <v>21</v>
      </c>
      <c r="L694">
        <v>2024</v>
      </c>
      <c r="M694" t="s">
        <v>1815</v>
      </c>
    </row>
    <row r="695" spans="1:13" x14ac:dyDescent="0.35">
      <c r="A695" t="s">
        <v>1816</v>
      </c>
      <c r="B695" t="s">
        <v>1817</v>
      </c>
      <c r="C695" t="s">
        <v>40</v>
      </c>
      <c r="D695" t="s">
        <v>96</v>
      </c>
      <c r="E695" t="s">
        <v>34</v>
      </c>
      <c r="F695" t="s">
        <v>101</v>
      </c>
      <c r="G695" t="s">
        <v>78</v>
      </c>
      <c r="H695">
        <v>99925</v>
      </c>
      <c r="I695">
        <v>17501.650000000001</v>
      </c>
      <c r="J695" t="s">
        <v>97</v>
      </c>
      <c r="K695" t="s">
        <v>21</v>
      </c>
      <c r="L695">
        <v>2025</v>
      </c>
      <c r="M695" t="s">
        <v>957</v>
      </c>
    </row>
    <row r="696" spans="1:13" x14ac:dyDescent="0.35">
      <c r="A696" t="s">
        <v>1818</v>
      </c>
      <c r="B696" t="s">
        <v>1819</v>
      </c>
      <c r="C696" t="s">
        <v>40</v>
      </c>
      <c r="D696" t="s">
        <v>66</v>
      </c>
      <c r="E696" t="s">
        <v>34</v>
      </c>
      <c r="F696" t="s">
        <v>35</v>
      </c>
      <c r="G696" t="s">
        <v>19</v>
      </c>
      <c r="H696">
        <v>249355</v>
      </c>
      <c r="I696">
        <v>40354.01</v>
      </c>
      <c r="J696" t="s">
        <v>113</v>
      </c>
      <c r="K696" t="s">
        <v>30</v>
      </c>
      <c r="L696">
        <v>2025</v>
      </c>
      <c r="M696" t="s">
        <v>1820</v>
      </c>
    </row>
    <row r="697" spans="1:13" x14ac:dyDescent="0.35">
      <c r="A697" t="s">
        <v>1821</v>
      </c>
      <c r="B697" t="s">
        <v>1591</v>
      </c>
      <c r="C697" t="s">
        <v>40</v>
      </c>
      <c r="D697" t="s">
        <v>96</v>
      </c>
      <c r="E697" t="s">
        <v>17</v>
      </c>
      <c r="F697" t="s">
        <v>52</v>
      </c>
      <c r="G697" t="s">
        <v>19</v>
      </c>
      <c r="H697">
        <v>55518</v>
      </c>
      <c r="I697">
        <v>-46347.18</v>
      </c>
      <c r="J697" t="s">
        <v>212</v>
      </c>
      <c r="K697" t="s">
        <v>48</v>
      </c>
      <c r="L697">
        <v>2025</v>
      </c>
      <c r="M697" t="s">
        <v>1806</v>
      </c>
    </row>
    <row r="698" spans="1:13" x14ac:dyDescent="0.35">
      <c r="A698" t="s">
        <v>1822</v>
      </c>
      <c r="B698" t="s">
        <v>854</v>
      </c>
      <c r="C698" t="s">
        <v>25</v>
      </c>
      <c r="D698" t="s">
        <v>83</v>
      </c>
      <c r="E698" t="s">
        <v>34</v>
      </c>
      <c r="F698" t="s">
        <v>67</v>
      </c>
      <c r="G698" t="s">
        <v>19</v>
      </c>
      <c r="H698">
        <v>291905</v>
      </c>
      <c r="I698">
        <v>28820.560000000001</v>
      </c>
      <c r="J698" t="s">
        <v>20</v>
      </c>
      <c r="K698" t="s">
        <v>48</v>
      </c>
      <c r="L698">
        <v>2025</v>
      </c>
      <c r="M698" t="s">
        <v>1315</v>
      </c>
    </row>
    <row r="699" spans="1:13" x14ac:dyDescent="0.35">
      <c r="A699" t="s">
        <v>1823</v>
      </c>
      <c r="B699" t="s">
        <v>1824</v>
      </c>
      <c r="C699" t="s">
        <v>40</v>
      </c>
      <c r="D699" t="s">
        <v>96</v>
      </c>
      <c r="E699" t="s">
        <v>17</v>
      </c>
      <c r="F699" t="s">
        <v>72</v>
      </c>
      <c r="G699" t="s">
        <v>19</v>
      </c>
      <c r="H699">
        <v>80209</v>
      </c>
      <c r="I699">
        <v>-57556.94</v>
      </c>
      <c r="J699" t="s">
        <v>20</v>
      </c>
      <c r="K699" t="s">
        <v>21</v>
      </c>
      <c r="L699">
        <v>2022</v>
      </c>
      <c r="M699" t="s">
        <v>335</v>
      </c>
    </row>
    <row r="700" spans="1:13" x14ac:dyDescent="0.35">
      <c r="A700" t="s">
        <v>1825</v>
      </c>
      <c r="B700" t="s">
        <v>749</v>
      </c>
      <c r="C700" t="s">
        <v>25</v>
      </c>
      <c r="D700" t="s">
        <v>83</v>
      </c>
      <c r="E700" t="s">
        <v>34</v>
      </c>
      <c r="F700" t="s">
        <v>67</v>
      </c>
      <c r="G700" t="s">
        <v>36</v>
      </c>
      <c r="H700">
        <v>59672</v>
      </c>
      <c r="I700">
        <v>12939.05</v>
      </c>
      <c r="J700" t="s">
        <v>79</v>
      </c>
      <c r="K700" t="s">
        <v>30</v>
      </c>
      <c r="L700">
        <v>2024</v>
      </c>
      <c r="M700" t="s">
        <v>1092</v>
      </c>
    </row>
    <row r="701" spans="1:13" x14ac:dyDescent="0.35">
      <c r="A701" t="s">
        <v>1826</v>
      </c>
      <c r="B701" t="s">
        <v>1827</v>
      </c>
      <c r="C701" t="s">
        <v>15</v>
      </c>
      <c r="D701" t="s">
        <v>46</v>
      </c>
      <c r="E701" t="s">
        <v>34</v>
      </c>
      <c r="F701" t="s">
        <v>101</v>
      </c>
      <c r="G701" t="s">
        <v>19</v>
      </c>
      <c r="H701">
        <v>63341</v>
      </c>
      <c r="I701">
        <v>5923.12</v>
      </c>
      <c r="J701" t="s">
        <v>212</v>
      </c>
      <c r="K701" t="s">
        <v>48</v>
      </c>
      <c r="L701">
        <v>2021</v>
      </c>
      <c r="M701" t="s">
        <v>1828</v>
      </c>
    </row>
    <row r="702" spans="1:13" x14ac:dyDescent="0.35">
      <c r="A702" t="s">
        <v>1829</v>
      </c>
      <c r="B702" t="s">
        <v>1830</v>
      </c>
      <c r="C702" t="s">
        <v>40</v>
      </c>
      <c r="D702" t="s">
        <v>96</v>
      </c>
      <c r="E702" t="s">
        <v>34</v>
      </c>
      <c r="F702" t="s">
        <v>58</v>
      </c>
      <c r="G702" t="s">
        <v>68</v>
      </c>
      <c r="H702">
        <v>198842</v>
      </c>
      <c r="I702">
        <v>27350.73</v>
      </c>
      <c r="J702" t="s">
        <v>79</v>
      </c>
      <c r="K702" t="s">
        <v>30</v>
      </c>
      <c r="L702">
        <v>2022</v>
      </c>
      <c r="M702" t="s">
        <v>1831</v>
      </c>
    </row>
    <row r="703" spans="1:13" x14ac:dyDescent="0.35">
      <c r="A703" t="s">
        <v>1832</v>
      </c>
      <c r="B703" t="s">
        <v>1833</v>
      </c>
      <c r="C703" t="s">
        <v>25</v>
      </c>
      <c r="D703" t="s">
        <v>149</v>
      </c>
      <c r="E703" t="s">
        <v>17</v>
      </c>
      <c r="F703" t="s">
        <v>18</v>
      </c>
      <c r="G703" t="s">
        <v>19</v>
      </c>
      <c r="H703">
        <v>174726</v>
      </c>
      <c r="I703">
        <v>-130622.73</v>
      </c>
      <c r="J703" t="s">
        <v>113</v>
      </c>
      <c r="K703" t="s">
        <v>30</v>
      </c>
      <c r="L703">
        <v>2023</v>
      </c>
      <c r="M703" t="s">
        <v>1834</v>
      </c>
    </row>
    <row r="704" spans="1:13" x14ac:dyDescent="0.35">
      <c r="A704" t="s">
        <v>1835</v>
      </c>
      <c r="B704" t="s">
        <v>1836</v>
      </c>
      <c r="C704" t="s">
        <v>40</v>
      </c>
      <c r="D704" t="s">
        <v>66</v>
      </c>
      <c r="E704" t="s">
        <v>34</v>
      </c>
      <c r="F704" t="s">
        <v>101</v>
      </c>
      <c r="G704" t="s">
        <v>68</v>
      </c>
      <c r="H704">
        <v>216435</v>
      </c>
      <c r="I704">
        <v>15586.56</v>
      </c>
      <c r="J704" t="s">
        <v>59</v>
      </c>
      <c r="K704" t="s">
        <v>30</v>
      </c>
      <c r="L704">
        <v>2024</v>
      </c>
      <c r="M704" t="s">
        <v>1837</v>
      </c>
    </row>
    <row r="705" spans="1:13" x14ac:dyDescent="0.35">
      <c r="A705" t="s">
        <v>1838</v>
      </c>
      <c r="B705" t="s">
        <v>1754</v>
      </c>
      <c r="C705" t="s">
        <v>25</v>
      </c>
      <c r="D705" t="s">
        <v>83</v>
      </c>
      <c r="E705" t="s">
        <v>17</v>
      </c>
      <c r="F705" t="s">
        <v>52</v>
      </c>
      <c r="G705" t="s">
        <v>19</v>
      </c>
      <c r="H705">
        <v>97091</v>
      </c>
      <c r="I705">
        <v>-91595.79</v>
      </c>
      <c r="J705" t="s">
        <v>97</v>
      </c>
      <c r="K705" t="s">
        <v>30</v>
      </c>
      <c r="L705">
        <v>2024</v>
      </c>
      <c r="M705" t="s">
        <v>1839</v>
      </c>
    </row>
    <row r="706" spans="1:13" x14ac:dyDescent="0.35">
      <c r="A706" t="s">
        <v>1840</v>
      </c>
      <c r="B706" t="s">
        <v>1841</v>
      </c>
      <c r="C706" t="s">
        <v>15</v>
      </c>
      <c r="D706" t="s">
        <v>46</v>
      </c>
      <c r="E706" t="s">
        <v>34</v>
      </c>
      <c r="F706" t="s">
        <v>67</v>
      </c>
      <c r="G706" t="s">
        <v>19</v>
      </c>
      <c r="H706">
        <v>260656</v>
      </c>
      <c r="I706">
        <v>61591.57</v>
      </c>
      <c r="J706" t="s">
        <v>20</v>
      </c>
      <c r="K706" t="s">
        <v>48</v>
      </c>
      <c r="L706">
        <v>2021</v>
      </c>
      <c r="M706" t="s">
        <v>261</v>
      </c>
    </row>
    <row r="707" spans="1:13" x14ac:dyDescent="0.35">
      <c r="A707" t="s">
        <v>1842</v>
      </c>
      <c r="B707" t="s">
        <v>1843</v>
      </c>
      <c r="C707" t="s">
        <v>15</v>
      </c>
      <c r="D707" t="s">
        <v>57</v>
      </c>
      <c r="E707" t="s">
        <v>17</v>
      </c>
      <c r="F707" t="s">
        <v>42</v>
      </c>
      <c r="G707" t="s">
        <v>19</v>
      </c>
      <c r="H707">
        <v>77187</v>
      </c>
      <c r="I707">
        <v>-62859.45</v>
      </c>
      <c r="J707" t="s">
        <v>47</v>
      </c>
      <c r="K707" t="s">
        <v>30</v>
      </c>
      <c r="L707">
        <v>2021</v>
      </c>
      <c r="M707" t="s">
        <v>962</v>
      </c>
    </row>
    <row r="708" spans="1:13" x14ac:dyDescent="0.35">
      <c r="A708" t="s">
        <v>1844</v>
      </c>
      <c r="B708" t="s">
        <v>1845</v>
      </c>
      <c r="C708" t="s">
        <v>25</v>
      </c>
      <c r="D708" t="s">
        <v>26</v>
      </c>
      <c r="E708" t="s">
        <v>17</v>
      </c>
      <c r="F708" t="s">
        <v>112</v>
      </c>
      <c r="G708" t="s">
        <v>68</v>
      </c>
      <c r="H708">
        <v>193013</v>
      </c>
      <c r="I708">
        <v>-184021.51</v>
      </c>
      <c r="J708" t="s">
        <v>29</v>
      </c>
      <c r="K708" t="s">
        <v>48</v>
      </c>
      <c r="L708">
        <v>2022</v>
      </c>
      <c r="M708" t="s">
        <v>1846</v>
      </c>
    </row>
    <row r="709" spans="1:13" x14ac:dyDescent="0.35">
      <c r="A709" t="s">
        <v>1847</v>
      </c>
      <c r="B709" t="s">
        <v>1848</v>
      </c>
      <c r="C709" t="s">
        <v>15</v>
      </c>
      <c r="D709" t="s">
        <v>46</v>
      </c>
      <c r="E709" t="s">
        <v>34</v>
      </c>
      <c r="F709" t="s">
        <v>67</v>
      </c>
      <c r="G709" t="s">
        <v>19</v>
      </c>
      <c r="H709">
        <v>68668</v>
      </c>
      <c r="I709">
        <v>11024.74</v>
      </c>
      <c r="J709" t="s">
        <v>59</v>
      </c>
      <c r="K709" t="s">
        <v>48</v>
      </c>
      <c r="L709">
        <v>2024</v>
      </c>
      <c r="M709" t="s">
        <v>1849</v>
      </c>
    </row>
    <row r="710" spans="1:13" x14ac:dyDescent="0.35">
      <c r="A710" t="s">
        <v>1850</v>
      </c>
      <c r="B710" t="s">
        <v>1851</v>
      </c>
      <c r="C710" t="s">
        <v>25</v>
      </c>
      <c r="D710" t="s">
        <v>26</v>
      </c>
      <c r="E710" t="s">
        <v>17</v>
      </c>
      <c r="F710" t="s">
        <v>18</v>
      </c>
      <c r="G710" t="s">
        <v>36</v>
      </c>
      <c r="H710">
        <v>63723</v>
      </c>
      <c r="I710">
        <v>-58413.23</v>
      </c>
      <c r="J710" t="s">
        <v>20</v>
      </c>
      <c r="K710" t="s">
        <v>53</v>
      </c>
      <c r="L710">
        <v>2024</v>
      </c>
      <c r="M710" t="s">
        <v>511</v>
      </c>
    </row>
    <row r="711" spans="1:13" x14ac:dyDescent="0.35">
      <c r="A711" t="s">
        <v>1852</v>
      </c>
      <c r="B711" t="s">
        <v>1853</v>
      </c>
      <c r="C711" t="s">
        <v>25</v>
      </c>
      <c r="D711" t="s">
        <v>26</v>
      </c>
      <c r="E711" t="s">
        <v>17</v>
      </c>
      <c r="F711" t="s">
        <v>42</v>
      </c>
      <c r="G711" t="s">
        <v>78</v>
      </c>
      <c r="H711">
        <v>170103</v>
      </c>
      <c r="I711">
        <v>-127724.34</v>
      </c>
      <c r="J711" t="s">
        <v>212</v>
      </c>
      <c r="K711" t="s">
        <v>30</v>
      </c>
      <c r="L711">
        <v>2022</v>
      </c>
      <c r="M711" t="s">
        <v>1706</v>
      </c>
    </row>
    <row r="712" spans="1:13" x14ac:dyDescent="0.35">
      <c r="A712" t="s">
        <v>1854</v>
      </c>
      <c r="B712" t="s">
        <v>1855</v>
      </c>
      <c r="C712" t="s">
        <v>76</v>
      </c>
      <c r="D712" t="s">
        <v>105</v>
      </c>
      <c r="E712" t="s">
        <v>34</v>
      </c>
      <c r="F712" t="s">
        <v>58</v>
      </c>
      <c r="G712" t="s">
        <v>19</v>
      </c>
      <c r="H712">
        <v>107911</v>
      </c>
      <c r="I712">
        <v>10602.37</v>
      </c>
      <c r="J712" t="s">
        <v>20</v>
      </c>
      <c r="K712" t="s">
        <v>48</v>
      </c>
      <c r="L712">
        <v>2023</v>
      </c>
      <c r="M712" t="s">
        <v>665</v>
      </c>
    </row>
    <row r="713" spans="1:13" x14ac:dyDescent="0.35">
      <c r="A713" t="s">
        <v>1856</v>
      </c>
      <c r="B713" t="s">
        <v>1857</v>
      </c>
      <c r="C713" t="s">
        <v>76</v>
      </c>
      <c r="D713" t="s">
        <v>171</v>
      </c>
      <c r="E713" t="s">
        <v>17</v>
      </c>
      <c r="F713" t="s">
        <v>112</v>
      </c>
      <c r="G713" t="s">
        <v>36</v>
      </c>
      <c r="H713">
        <v>115888</v>
      </c>
      <c r="I713">
        <v>-102234.51</v>
      </c>
      <c r="J713" t="s">
        <v>47</v>
      </c>
      <c r="K713" t="s">
        <v>48</v>
      </c>
      <c r="L713">
        <v>2021</v>
      </c>
      <c r="M713" t="s">
        <v>1769</v>
      </c>
    </row>
    <row r="714" spans="1:13" x14ac:dyDescent="0.35">
      <c r="A714" t="s">
        <v>1858</v>
      </c>
      <c r="B714" t="s">
        <v>1859</v>
      </c>
      <c r="C714" t="s">
        <v>76</v>
      </c>
      <c r="D714" t="s">
        <v>171</v>
      </c>
      <c r="E714" t="s">
        <v>34</v>
      </c>
      <c r="F714" t="s">
        <v>35</v>
      </c>
      <c r="G714" t="s">
        <v>19</v>
      </c>
      <c r="H714">
        <v>180482</v>
      </c>
      <c r="I714">
        <v>33610.879999999997</v>
      </c>
      <c r="J714" t="s">
        <v>212</v>
      </c>
      <c r="K714" t="s">
        <v>53</v>
      </c>
      <c r="L714">
        <v>2025</v>
      </c>
      <c r="M714" t="s">
        <v>1015</v>
      </c>
    </row>
    <row r="715" spans="1:13" x14ac:dyDescent="0.35">
      <c r="A715" t="s">
        <v>1860</v>
      </c>
      <c r="B715" t="s">
        <v>1861</v>
      </c>
      <c r="C715" t="s">
        <v>15</v>
      </c>
      <c r="D715" t="s">
        <v>16</v>
      </c>
      <c r="E715" t="s">
        <v>17</v>
      </c>
      <c r="F715" t="s">
        <v>52</v>
      </c>
      <c r="G715" t="s">
        <v>78</v>
      </c>
      <c r="H715">
        <v>198592</v>
      </c>
      <c r="I715">
        <v>-172878.02</v>
      </c>
      <c r="J715" t="s">
        <v>47</v>
      </c>
      <c r="K715" t="s">
        <v>21</v>
      </c>
      <c r="L715">
        <v>2023</v>
      </c>
      <c r="M715" t="s">
        <v>237</v>
      </c>
    </row>
    <row r="716" spans="1:13" x14ac:dyDescent="0.35">
      <c r="A716" t="s">
        <v>1862</v>
      </c>
      <c r="B716" t="s">
        <v>1863</v>
      </c>
      <c r="C716" t="s">
        <v>25</v>
      </c>
      <c r="D716" t="s">
        <v>149</v>
      </c>
      <c r="E716" t="s">
        <v>17</v>
      </c>
      <c r="F716" t="s">
        <v>18</v>
      </c>
      <c r="G716" t="s">
        <v>36</v>
      </c>
      <c r="H716">
        <v>177568</v>
      </c>
      <c r="I716">
        <v>-167685.70000000001</v>
      </c>
      <c r="J716" t="s">
        <v>29</v>
      </c>
      <c r="K716" t="s">
        <v>21</v>
      </c>
      <c r="L716">
        <v>2023</v>
      </c>
      <c r="M716" t="s">
        <v>665</v>
      </c>
    </row>
    <row r="717" spans="1:13" x14ac:dyDescent="0.35">
      <c r="A717" t="s">
        <v>1864</v>
      </c>
      <c r="B717" t="s">
        <v>1865</v>
      </c>
      <c r="C717" t="s">
        <v>25</v>
      </c>
      <c r="D717" t="s">
        <v>83</v>
      </c>
      <c r="E717" t="s">
        <v>27</v>
      </c>
      <c r="F717" t="s">
        <v>28</v>
      </c>
      <c r="G717" t="s">
        <v>68</v>
      </c>
      <c r="H717">
        <v>827814</v>
      </c>
      <c r="I717">
        <v>117645.56</v>
      </c>
      <c r="J717" t="s">
        <v>97</v>
      </c>
      <c r="K717" t="s">
        <v>30</v>
      </c>
      <c r="L717">
        <v>2022</v>
      </c>
      <c r="M717" t="s">
        <v>198</v>
      </c>
    </row>
    <row r="718" spans="1:13" x14ac:dyDescent="0.35">
      <c r="A718" t="s">
        <v>1866</v>
      </c>
      <c r="B718" t="s">
        <v>1867</v>
      </c>
      <c r="C718" t="s">
        <v>40</v>
      </c>
      <c r="D718" t="s">
        <v>96</v>
      </c>
      <c r="E718" t="s">
        <v>34</v>
      </c>
      <c r="F718" t="s">
        <v>35</v>
      </c>
      <c r="G718" t="s">
        <v>68</v>
      </c>
      <c r="H718">
        <v>202396</v>
      </c>
      <c r="I718">
        <v>22870.03</v>
      </c>
      <c r="J718" t="s">
        <v>79</v>
      </c>
      <c r="K718" t="s">
        <v>30</v>
      </c>
      <c r="L718">
        <v>2023</v>
      </c>
      <c r="M718" t="s">
        <v>1868</v>
      </c>
    </row>
    <row r="719" spans="1:13" x14ac:dyDescent="0.35">
      <c r="A719" t="s">
        <v>1869</v>
      </c>
      <c r="B719" t="s">
        <v>1870</v>
      </c>
      <c r="C719" t="s">
        <v>25</v>
      </c>
      <c r="D719" t="s">
        <v>83</v>
      </c>
      <c r="E719" t="s">
        <v>17</v>
      </c>
      <c r="F719" t="s">
        <v>72</v>
      </c>
      <c r="G719" t="s">
        <v>78</v>
      </c>
      <c r="H719">
        <v>115680</v>
      </c>
      <c r="I719">
        <v>-86990.55</v>
      </c>
      <c r="J719" t="s">
        <v>20</v>
      </c>
      <c r="K719" t="s">
        <v>21</v>
      </c>
      <c r="L719">
        <v>2025</v>
      </c>
      <c r="M719" t="s">
        <v>1871</v>
      </c>
    </row>
    <row r="720" spans="1:13" x14ac:dyDescent="0.35">
      <c r="A720" t="s">
        <v>1872</v>
      </c>
      <c r="B720" t="s">
        <v>1873</v>
      </c>
      <c r="C720" t="s">
        <v>25</v>
      </c>
      <c r="D720" t="s">
        <v>26</v>
      </c>
      <c r="E720" t="s">
        <v>34</v>
      </c>
      <c r="F720" t="s">
        <v>58</v>
      </c>
      <c r="G720" t="s">
        <v>78</v>
      </c>
      <c r="H720">
        <v>30403</v>
      </c>
      <c r="I720">
        <v>3812.71</v>
      </c>
      <c r="J720" t="s">
        <v>79</v>
      </c>
      <c r="K720" t="s">
        <v>53</v>
      </c>
      <c r="L720">
        <v>2024</v>
      </c>
      <c r="M720" t="s">
        <v>758</v>
      </c>
    </row>
    <row r="721" spans="1:13" x14ac:dyDescent="0.35">
      <c r="A721" t="s">
        <v>1874</v>
      </c>
      <c r="B721" t="s">
        <v>1875</v>
      </c>
      <c r="C721" t="s">
        <v>76</v>
      </c>
      <c r="D721" t="s">
        <v>77</v>
      </c>
      <c r="E721" t="s">
        <v>34</v>
      </c>
      <c r="F721" t="s">
        <v>58</v>
      </c>
      <c r="G721" t="s">
        <v>78</v>
      </c>
      <c r="H721">
        <v>273033</v>
      </c>
      <c r="I721">
        <v>14000.24</v>
      </c>
      <c r="J721" t="s">
        <v>113</v>
      </c>
      <c r="K721" t="s">
        <v>53</v>
      </c>
      <c r="L721">
        <v>2022</v>
      </c>
      <c r="M721" t="s">
        <v>1876</v>
      </c>
    </row>
    <row r="722" spans="1:13" x14ac:dyDescent="0.35">
      <c r="A722" t="s">
        <v>1877</v>
      </c>
      <c r="B722" t="s">
        <v>1878</v>
      </c>
      <c r="C722" t="s">
        <v>15</v>
      </c>
      <c r="D722" t="s">
        <v>57</v>
      </c>
      <c r="E722" t="s">
        <v>138</v>
      </c>
      <c r="F722" t="s">
        <v>208</v>
      </c>
      <c r="G722" t="s">
        <v>36</v>
      </c>
      <c r="H722">
        <v>286470</v>
      </c>
      <c r="I722">
        <v>-43496.03</v>
      </c>
      <c r="J722" t="s">
        <v>212</v>
      </c>
      <c r="K722" t="s">
        <v>21</v>
      </c>
      <c r="L722">
        <v>2022</v>
      </c>
      <c r="M722" t="s">
        <v>764</v>
      </c>
    </row>
    <row r="723" spans="1:13" x14ac:dyDescent="0.35">
      <c r="A723" t="s">
        <v>1879</v>
      </c>
      <c r="B723" t="s">
        <v>1880</v>
      </c>
      <c r="C723" t="s">
        <v>25</v>
      </c>
      <c r="D723" t="s">
        <v>83</v>
      </c>
      <c r="E723" t="s">
        <v>17</v>
      </c>
      <c r="F723" t="s">
        <v>18</v>
      </c>
      <c r="G723" t="s">
        <v>19</v>
      </c>
      <c r="H723">
        <v>95038</v>
      </c>
      <c r="I723">
        <v>-76676.89</v>
      </c>
      <c r="J723" t="s">
        <v>59</v>
      </c>
      <c r="K723" t="s">
        <v>53</v>
      </c>
      <c r="L723">
        <v>2025</v>
      </c>
      <c r="M723" t="s">
        <v>1716</v>
      </c>
    </row>
    <row r="724" spans="1:13" x14ac:dyDescent="0.35">
      <c r="A724" t="s">
        <v>1881</v>
      </c>
      <c r="B724" t="s">
        <v>1882</v>
      </c>
      <c r="C724" t="s">
        <v>25</v>
      </c>
      <c r="D724" t="s">
        <v>83</v>
      </c>
      <c r="E724" t="s">
        <v>17</v>
      </c>
      <c r="F724" t="s">
        <v>18</v>
      </c>
      <c r="G724" t="s">
        <v>68</v>
      </c>
      <c r="H724">
        <v>131342</v>
      </c>
      <c r="I724">
        <v>-124639.59</v>
      </c>
      <c r="J724" t="s">
        <v>212</v>
      </c>
      <c r="K724" t="s">
        <v>21</v>
      </c>
      <c r="L724">
        <v>2023</v>
      </c>
      <c r="M724" t="s">
        <v>1503</v>
      </c>
    </row>
    <row r="725" spans="1:13" x14ac:dyDescent="0.35">
      <c r="A725" t="s">
        <v>1883</v>
      </c>
      <c r="B725" t="s">
        <v>1884</v>
      </c>
      <c r="C725" t="s">
        <v>15</v>
      </c>
      <c r="D725" t="s">
        <v>16</v>
      </c>
      <c r="E725" t="s">
        <v>17</v>
      </c>
      <c r="F725" t="s">
        <v>112</v>
      </c>
      <c r="G725" t="s">
        <v>19</v>
      </c>
      <c r="H725">
        <v>66550</v>
      </c>
      <c r="I725">
        <v>-51916.4</v>
      </c>
      <c r="J725" t="s">
        <v>29</v>
      </c>
      <c r="K725" t="s">
        <v>48</v>
      </c>
      <c r="L725">
        <v>2024</v>
      </c>
      <c r="M725" t="s">
        <v>102</v>
      </c>
    </row>
    <row r="726" spans="1:13" x14ac:dyDescent="0.35">
      <c r="A726" t="s">
        <v>1885</v>
      </c>
      <c r="B726" t="s">
        <v>1886</v>
      </c>
      <c r="C726" t="s">
        <v>25</v>
      </c>
      <c r="D726" t="s">
        <v>149</v>
      </c>
      <c r="E726" t="s">
        <v>17</v>
      </c>
      <c r="F726" t="s">
        <v>42</v>
      </c>
      <c r="G726" t="s">
        <v>68</v>
      </c>
      <c r="H726">
        <v>111799</v>
      </c>
      <c r="I726">
        <v>-87939.92</v>
      </c>
      <c r="J726" t="s">
        <v>47</v>
      </c>
      <c r="K726" t="s">
        <v>48</v>
      </c>
      <c r="L726">
        <v>2021</v>
      </c>
      <c r="M726" t="s">
        <v>317</v>
      </c>
    </row>
    <row r="727" spans="1:13" x14ac:dyDescent="0.35">
      <c r="A727" t="s">
        <v>1887</v>
      </c>
      <c r="B727" t="s">
        <v>1888</v>
      </c>
      <c r="C727" t="s">
        <v>40</v>
      </c>
      <c r="D727" t="s">
        <v>96</v>
      </c>
      <c r="E727" t="s">
        <v>27</v>
      </c>
      <c r="F727" t="s">
        <v>204</v>
      </c>
      <c r="G727" t="s">
        <v>19</v>
      </c>
      <c r="H727">
        <v>322185</v>
      </c>
      <c r="I727">
        <v>14127.23</v>
      </c>
      <c r="J727" t="s">
        <v>79</v>
      </c>
      <c r="K727" t="s">
        <v>48</v>
      </c>
      <c r="L727">
        <v>2025</v>
      </c>
      <c r="M727" t="s">
        <v>282</v>
      </c>
    </row>
    <row r="728" spans="1:13" x14ac:dyDescent="0.35">
      <c r="A728" t="s">
        <v>1889</v>
      </c>
      <c r="B728" t="s">
        <v>1890</v>
      </c>
      <c r="C728" t="s">
        <v>40</v>
      </c>
      <c r="D728" t="s">
        <v>66</v>
      </c>
      <c r="E728" t="s">
        <v>34</v>
      </c>
      <c r="F728" t="s">
        <v>58</v>
      </c>
      <c r="G728" t="s">
        <v>78</v>
      </c>
      <c r="H728">
        <v>200464</v>
      </c>
      <c r="I728">
        <v>42637.01</v>
      </c>
      <c r="J728" t="s">
        <v>113</v>
      </c>
      <c r="K728" t="s">
        <v>30</v>
      </c>
      <c r="L728">
        <v>2025</v>
      </c>
      <c r="M728" t="s">
        <v>1891</v>
      </c>
    </row>
    <row r="729" spans="1:13" x14ac:dyDescent="0.35">
      <c r="A729" t="s">
        <v>1892</v>
      </c>
      <c r="B729" t="s">
        <v>1727</v>
      </c>
      <c r="C729" t="s">
        <v>15</v>
      </c>
      <c r="D729" t="s">
        <v>46</v>
      </c>
      <c r="E729" t="s">
        <v>27</v>
      </c>
      <c r="F729" t="s">
        <v>28</v>
      </c>
      <c r="G729" t="s">
        <v>68</v>
      </c>
      <c r="H729">
        <v>759438</v>
      </c>
      <c r="I729">
        <v>34350.51</v>
      </c>
      <c r="J729" t="s">
        <v>59</v>
      </c>
      <c r="K729" t="s">
        <v>53</v>
      </c>
      <c r="L729">
        <v>2025</v>
      </c>
      <c r="M729" t="s">
        <v>718</v>
      </c>
    </row>
    <row r="730" spans="1:13" x14ac:dyDescent="0.35">
      <c r="A730" t="s">
        <v>1893</v>
      </c>
      <c r="B730" t="s">
        <v>1894</v>
      </c>
      <c r="C730" t="s">
        <v>76</v>
      </c>
      <c r="D730" t="s">
        <v>105</v>
      </c>
      <c r="E730" t="s">
        <v>17</v>
      </c>
      <c r="F730" t="s">
        <v>42</v>
      </c>
      <c r="G730" t="s">
        <v>78</v>
      </c>
      <c r="H730">
        <v>80626</v>
      </c>
      <c r="I730">
        <v>-75119.87</v>
      </c>
      <c r="J730" t="s">
        <v>59</v>
      </c>
      <c r="K730" t="s">
        <v>48</v>
      </c>
      <c r="L730">
        <v>2021</v>
      </c>
      <c r="M730" t="s">
        <v>1323</v>
      </c>
    </row>
    <row r="731" spans="1:13" x14ac:dyDescent="0.35">
      <c r="A731" t="s">
        <v>1895</v>
      </c>
      <c r="B731" t="s">
        <v>1066</v>
      </c>
      <c r="C731" t="s">
        <v>40</v>
      </c>
      <c r="D731" t="s">
        <v>66</v>
      </c>
      <c r="E731" t="s">
        <v>34</v>
      </c>
      <c r="F731" t="s">
        <v>67</v>
      </c>
      <c r="G731" t="s">
        <v>36</v>
      </c>
      <c r="H731">
        <v>261779</v>
      </c>
      <c r="I731">
        <v>59856.6</v>
      </c>
      <c r="J731" t="s">
        <v>212</v>
      </c>
      <c r="K731" t="s">
        <v>53</v>
      </c>
      <c r="L731">
        <v>2021</v>
      </c>
      <c r="M731" t="s">
        <v>1092</v>
      </c>
    </row>
    <row r="732" spans="1:13" x14ac:dyDescent="0.35">
      <c r="A732" t="s">
        <v>1896</v>
      </c>
      <c r="B732" t="s">
        <v>1897</v>
      </c>
      <c r="C732" t="s">
        <v>40</v>
      </c>
      <c r="D732" t="s">
        <v>96</v>
      </c>
      <c r="E732" t="s">
        <v>34</v>
      </c>
      <c r="F732" t="s">
        <v>35</v>
      </c>
      <c r="G732" t="s">
        <v>68</v>
      </c>
      <c r="H732">
        <v>280426</v>
      </c>
      <c r="I732">
        <v>46682.77</v>
      </c>
      <c r="J732" t="s">
        <v>29</v>
      </c>
      <c r="K732" t="s">
        <v>21</v>
      </c>
      <c r="L732">
        <v>2021</v>
      </c>
      <c r="M732" t="s">
        <v>380</v>
      </c>
    </row>
    <row r="733" spans="1:13" x14ac:dyDescent="0.35">
      <c r="A733" t="s">
        <v>1898</v>
      </c>
      <c r="B733" t="s">
        <v>1899</v>
      </c>
      <c r="C733" t="s">
        <v>40</v>
      </c>
      <c r="D733" t="s">
        <v>96</v>
      </c>
      <c r="E733" t="s">
        <v>34</v>
      </c>
      <c r="F733" t="s">
        <v>67</v>
      </c>
      <c r="G733" t="s">
        <v>68</v>
      </c>
      <c r="H733">
        <v>165527</v>
      </c>
      <c r="I733">
        <v>10891.07</v>
      </c>
      <c r="J733" t="s">
        <v>59</v>
      </c>
      <c r="K733" t="s">
        <v>21</v>
      </c>
      <c r="L733">
        <v>2024</v>
      </c>
      <c r="M733" t="s">
        <v>1900</v>
      </c>
    </row>
    <row r="734" spans="1:13" x14ac:dyDescent="0.35">
      <c r="A734" t="s">
        <v>1901</v>
      </c>
      <c r="B734" t="s">
        <v>1164</v>
      </c>
      <c r="C734" t="s">
        <v>40</v>
      </c>
      <c r="D734" t="s">
        <v>66</v>
      </c>
      <c r="E734" t="s">
        <v>34</v>
      </c>
      <c r="F734" t="s">
        <v>67</v>
      </c>
      <c r="G734" t="s">
        <v>68</v>
      </c>
      <c r="H734">
        <v>54202</v>
      </c>
      <c r="I734">
        <v>12134.76</v>
      </c>
      <c r="J734" t="s">
        <v>29</v>
      </c>
      <c r="K734" t="s">
        <v>53</v>
      </c>
      <c r="L734">
        <v>2022</v>
      </c>
      <c r="M734" t="s">
        <v>1092</v>
      </c>
    </row>
    <row r="735" spans="1:13" x14ac:dyDescent="0.35">
      <c r="A735" t="s">
        <v>1902</v>
      </c>
      <c r="B735" t="s">
        <v>108</v>
      </c>
      <c r="C735" t="s">
        <v>40</v>
      </c>
      <c r="D735" t="s">
        <v>41</v>
      </c>
      <c r="E735" t="s">
        <v>34</v>
      </c>
      <c r="F735" t="s">
        <v>35</v>
      </c>
      <c r="G735" t="s">
        <v>36</v>
      </c>
      <c r="H735">
        <v>259862</v>
      </c>
      <c r="I735">
        <v>28179.17</v>
      </c>
      <c r="J735" t="s">
        <v>79</v>
      </c>
      <c r="K735" t="s">
        <v>30</v>
      </c>
      <c r="L735">
        <v>2022</v>
      </c>
      <c r="M735" t="s">
        <v>1903</v>
      </c>
    </row>
    <row r="736" spans="1:13" x14ac:dyDescent="0.35">
      <c r="A736" t="s">
        <v>1904</v>
      </c>
      <c r="B736" t="s">
        <v>1449</v>
      </c>
      <c r="C736" t="s">
        <v>40</v>
      </c>
      <c r="D736" t="s">
        <v>96</v>
      </c>
      <c r="E736" t="s">
        <v>27</v>
      </c>
      <c r="F736" t="s">
        <v>379</v>
      </c>
      <c r="G736" t="s">
        <v>68</v>
      </c>
      <c r="H736">
        <v>360773</v>
      </c>
      <c r="I736">
        <v>-3108.64</v>
      </c>
      <c r="J736" t="s">
        <v>212</v>
      </c>
      <c r="K736" t="s">
        <v>48</v>
      </c>
      <c r="L736">
        <v>2022</v>
      </c>
      <c r="M736" t="s">
        <v>234</v>
      </c>
    </row>
    <row r="737" spans="1:13" x14ac:dyDescent="0.35">
      <c r="A737" t="s">
        <v>1905</v>
      </c>
      <c r="B737" t="s">
        <v>387</v>
      </c>
      <c r="C737" t="s">
        <v>25</v>
      </c>
      <c r="D737" t="s">
        <v>149</v>
      </c>
      <c r="E737" t="s">
        <v>17</v>
      </c>
      <c r="F737" t="s">
        <v>72</v>
      </c>
      <c r="G737" t="s">
        <v>19</v>
      </c>
      <c r="H737">
        <v>97707</v>
      </c>
      <c r="I737">
        <v>-72701.320000000007</v>
      </c>
      <c r="J737" t="s">
        <v>59</v>
      </c>
      <c r="K737" t="s">
        <v>53</v>
      </c>
      <c r="L737">
        <v>2021</v>
      </c>
      <c r="M737" t="s">
        <v>1906</v>
      </c>
    </row>
    <row r="738" spans="1:13" x14ac:dyDescent="0.35">
      <c r="A738" t="s">
        <v>1907</v>
      </c>
      <c r="B738" t="s">
        <v>1738</v>
      </c>
      <c r="C738" t="s">
        <v>15</v>
      </c>
      <c r="D738" t="s">
        <v>46</v>
      </c>
      <c r="E738" t="s">
        <v>17</v>
      </c>
      <c r="F738" t="s">
        <v>52</v>
      </c>
      <c r="G738" t="s">
        <v>78</v>
      </c>
      <c r="H738">
        <v>155360</v>
      </c>
      <c r="I738">
        <v>-147163.26</v>
      </c>
      <c r="J738" t="s">
        <v>29</v>
      </c>
      <c r="K738" t="s">
        <v>21</v>
      </c>
      <c r="L738">
        <v>2024</v>
      </c>
      <c r="M738" t="s">
        <v>718</v>
      </c>
    </row>
    <row r="739" spans="1:13" x14ac:dyDescent="0.35">
      <c r="A739" t="s">
        <v>1908</v>
      </c>
      <c r="B739" t="s">
        <v>1909</v>
      </c>
      <c r="C739" t="s">
        <v>40</v>
      </c>
      <c r="D739" t="s">
        <v>41</v>
      </c>
      <c r="E739" t="s">
        <v>34</v>
      </c>
      <c r="F739" t="s">
        <v>101</v>
      </c>
      <c r="G739" t="s">
        <v>36</v>
      </c>
      <c r="H739">
        <v>229714</v>
      </c>
      <c r="I739">
        <v>32296.79</v>
      </c>
      <c r="J739" t="s">
        <v>59</v>
      </c>
      <c r="K739" t="s">
        <v>30</v>
      </c>
      <c r="L739">
        <v>2022</v>
      </c>
      <c r="M739" t="s">
        <v>201</v>
      </c>
    </row>
    <row r="740" spans="1:13" x14ac:dyDescent="0.35">
      <c r="A740" t="s">
        <v>1910</v>
      </c>
      <c r="B740" t="s">
        <v>1911</v>
      </c>
      <c r="C740" t="s">
        <v>40</v>
      </c>
      <c r="D740" t="s">
        <v>41</v>
      </c>
      <c r="E740" t="s">
        <v>138</v>
      </c>
      <c r="F740" t="s">
        <v>208</v>
      </c>
      <c r="G740" t="s">
        <v>19</v>
      </c>
      <c r="H740">
        <v>16746</v>
      </c>
      <c r="I740">
        <v>-2348.67</v>
      </c>
      <c r="J740" t="s">
        <v>113</v>
      </c>
      <c r="K740" t="s">
        <v>30</v>
      </c>
      <c r="L740">
        <v>2022</v>
      </c>
      <c r="M740" t="s">
        <v>1912</v>
      </c>
    </row>
    <row r="741" spans="1:13" x14ac:dyDescent="0.35">
      <c r="A741" t="s">
        <v>1913</v>
      </c>
      <c r="B741" t="s">
        <v>1914</v>
      </c>
      <c r="C741" t="s">
        <v>40</v>
      </c>
      <c r="D741" t="s">
        <v>66</v>
      </c>
      <c r="E741" t="s">
        <v>34</v>
      </c>
      <c r="F741" t="s">
        <v>67</v>
      </c>
      <c r="G741" t="s">
        <v>36</v>
      </c>
      <c r="H741">
        <v>150151</v>
      </c>
      <c r="I741">
        <v>26869.48</v>
      </c>
      <c r="J741" t="s">
        <v>29</v>
      </c>
      <c r="K741" t="s">
        <v>48</v>
      </c>
      <c r="L741">
        <v>2021</v>
      </c>
      <c r="M741" t="s">
        <v>326</v>
      </c>
    </row>
    <row r="742" spans="1:13" x14ac:dyDescent="0.35">
      <c r="A742" t="s">
        <v>1915</v>
      </c>
      <c r="B742" t="s">
        <v>1916</v>
      </c>
      <c r="C742" t="s">
        <v>40</v>
      </c>
      <c r="D742" t="s">
        <v>41</v>
      </c>
      <c r="E742" t="s">
        <v>17</v>
      </c>
      <c r="F742" t="s">
        <v>18</v>
      </c>
      <c r="G742" t="s">
        <v>68</v>
      </c>
      <c r="H742">
        <v>167703</v>
      </c>
      <c r="I742">
        <v>-130310.28</v>
      </c>
      <c r="J742" t="s">
        <v>97</v>
      </c>
      <c r="K742" t="s">
        <v>53</v>
      </c>
      <c r="L742">
        <v>2021</v>
      </c>
      <c r="M742" t="s">
        <v>1808</v>
      </c>
    </row>
    <row r="743" spans="1:13" x14ac:dyDescent="0.35">
      <c r="A743" t="s">
        <v>1917</v>
      </c>
      <c r="B743" t="s">
        <v>1918</v>
      </c>
      <c r="C743" t="s">
        <v>15</v>
      </c>
      <c r="D743" t="s">
        <v>57</v>
      </c>
      <c r="E743" t="s">
        <v>27</v>
      </c>
      <c r="F743" t="s">
        <v>28</v>
      </c>
      <c r="G743" t="s">
        <v>36</v>
      </c>
      <c r="H743">
        <v>804151</v>
      </c>
      <c r="I743">
        <v>31744.35</v>
      </c>
      <c r="J743" t="s">
        <v>97</v>
      </c>
      <c r="K743" t="s">
        <v>30</v>
      </c>
      <c r="L743">
        <v>2025</v>
      </c>
      <c r="M743" t="s">
        <v>178</v>
      </c>
    </row>
    <row r="744" spans="1:13" x14ac:dyDescent="0.35">
      <c r="A744" t="s">
        <v>1919</v>
      </c>
      <c r="B744" t="s">
        <v>1078</v>
      </c>
      <c r="C744" t="s">
        <v>40</v>
      </c>
      <c r="D744" t="s">
        <v>66</v>
      </c>
      <c r="E744" t="s">
        <v>17</v>
      </c>
      <c r="F744" t="s">
        <v>42</v>
      </c>
      <c r="G744" t="s">
        <v>68</v>
      </c>
      <c r="H744">
        <v>73476</v>
      </c>
      <c r="I744">
        <v>-64744.86</v>
      </c>
      <c r="J744" t="s">
        <v>47</v>
      </c>
      <c r="K744" t="s">
        <v>48</v>
      </c>
      <c r="L744">
        <v>2024</v>
      </c>
      <c r="M744" t="s">
        <v>1920</v>
      </c>
    </row>
    <row r="745" spans="1:13" x14ac:dyDescent="0.35">
      <c r="A745" t="s">
        <v>1921</v>
      </c>
      <c r="B745" t="s">
        <v>1922</v>
      </c>
      <c r="C745" t="s">
        <v>76</v>
      </c>
      <c r="D745" t="s">
        <v>171</v>
      </c>
      <c r="E745" t="s">
        <v>27</v>
      </c>
      <c r="F745" t="s">
        <v>379</v>
      </c>
      <c r="G745" t="s">
        <v>36</v>
      </c>
      <c r="H745">
        <v>582940</v>
      </c>
      <c r="I745">
        <v>9664.5499999999993</v>
      </c>
      <c r="J745" t="s">
        <v>29</v>
      </c>
      <c r="K745" t="s">
        <v>53</v>
      </c>
      <c r="L745">
        <v>2025</v>
      </c>
      <c r="M745" t="s">
        <v>1374</v>
      </c>
    </row>
    <row r="746" spans="1:13" x14ac:dyDescent="0.35">
      <c r="A746" t="s">
        <v>1923</v>
      </c>
      <c r="B746" t="s">
        <v>1924</v>
      </c>
      <c r="C746" t="s">
        <v>25</v>
      </c>
      <c r="D746" t="s">
        <v>83</v>
      </c>
      <c r="E746" t="s">
        <v>17</v>
      </c>
      <c r="F746" t="s">
        <v>18</v>
      </c>
      <c r="G746" t="s">
        <v>78</v>
      </c>
      <c r="H746">
        <v>57777</v>
      </c>
      <c r="I746">
        <v>-49598.99</v>
      </c>
      <c r="J746" t="s">
        <v>20</v>
      </c>
      <c r="K746" t="s">
        <v>48</v>
      </c>
      <c r="L746">
        <v>2025</v>
      </c>
      <c r="M746" t="s">
        <v>562</v>
      </c>
    </row>
    <row r="747" spans="1:13" x14ac:dyDescent="0.35">
      <c r="A747" t="s">
        <v>1925</v>
      </c>
      <c r="B747" t="s">
        <v>75</v>
      </c>
      <c r="C747" t="s">
        <v>15</v>
      </c>
      <c r="D747" t="s">
        <v>16</v>
      </c>
      <c r="E747" t="s">
        <v>34</v>
      </c>
      <c r="F747" t="s">
        <v>35</v>
      </c>
      <c r="G747" t="s">
        <v>36</v>
      </c>
      <c r="H747">
        <v>208480</v>
      </c>
      <c r="I747">
        <v>16918.580000000002</v>
      </c>
      <c r="J747" t="s">
        <v>20</v>
      </c>
      <c r="K747" t="s">
        <v>21</v>
      </c>
      <c r="L747">
        <v>2025</v>
      </c>
      <c r="M747" t="s">
        <v>1926</v>
      </c>
    </row>
    <row r="748" spans="1:13" x14ac:dyDescent="0.35">
      <c r="A748" t="s">
        <v>1927</v>
      </c>
      <c r="B748" t="s">
        <v>1928</v>
      </c>
      <c r="C748" t="s">
        <v>25</v>
      </c>
      <c r="D748" t="s">
        <v>149</v>
      </c>
      <c r="E748" t="s">
        <v>34</v>
      </c>
      <c r="F748" t="s">
        <v>67</v>
      </c>
      <c r="G748" t="s">
        <v>78</v>
      </c>
      <c r="H748">
        <v>70287</v>
      </c>
      <c r="I748">
        <v>6407.89</v>
      </c>
      <c r="J748" t="s">
        <v>29</v>
      </c>
      <c r="K748" t="s">
        <v>21</v>
      </c>
      <c r="L748">
        <v>2021</v>
      </c>
      <c r="M748" t="s">
        <v>693</v>
      </c>
    </row>
    <row r="749" spans="1:13" x14ac:dyDescent="0.35">
      <c r="A749" t="s">
        <v>1929</v>
      </c>
      <c r="B749" t="s">
        <v>1930</v>
      </c>
      <c r="C749" t="s">
        <v>15</v>
      </c>
      <c r="D749" t="s">
        <v>16</v>
      </c>
      <c r="E749" t="s">
        <v>17</v>
      </c>
      <c r="F749" t="s">
        <v>18</v>
      </c>
      <c r="G749" t="s">
        <v>78</v>
      </c>
      <c r="H749">
        <v>26916</v>
      </c>
      <c r="I749">
        <v>-23373.72</v>
      </c>
      <c r="J749" t="s">
        <v>59</v>
      </c>
      <c r="K749" t="s">
        <v>48</v>
      </c>
      <c r="L749">
        <v>2021</v>
      </c>
      <c r="M749" t="s">
        <v>1931</v>
      </c>
    </row>
    <row r="750" spans="1:13" x14ac:dyDescent="0.35">
      <c r="A750" t="s">
        <v>1932</v>
      </c>
      <c r="B750" t="s">
        <v>953</v>
      </c>
      <c r="C750" t="s">
        <v>15</v>
      </c>
      <c r="D750" t="s">
        <v>46</v>
      </c>
      <c r="E750" t="s">
        <v>34</v>
      </c>
      <c r="F750" t="s">
        <v>101</v>
      </c>
      <c r="G750" t="s">
        <v>78</v>
      </c>
      <c r="H750">
        <v>52951</v>
      </c>
      <c r="I750">
        <v>8498.2900000000009</v>
      </c>
      <c r="J750" t="s">
        <v>47</v>
      </c>
      <c r="K750" t="s">
        <v>53</v>
      </c>
      <c r="L750">
        <v>2023</v>
      </c>
      <c r="M750" t="s">
        <v>1536</v>
      </c>
    </row>
    <row r="751" spans="1:13" x14ac:dyDescent="0.35">
      <c r="A751" t="s">
        <v>1933</v>
      </c>
      <c r="B751" t="s">
        <v>1934</v>
      </c>
      <c r="C751" t="s">
        <v>40</v>
      </c>
      <c r="D751" t="s">
        <v>41</v>
      </c>
      <c r="E751" t="s">
        <v>17</v>
      </c>
      <c r="F751" t="s">
        <v>18</v>
      </c>
      <c r="G751" t="s">
        <v>78</v>
      </c>
      <c r="H751">
        <v>49660</v>
      </c>
      <c r="I751">
        <v>-35643.230000000003</v>
      </c>
      <c r="J751" t="s">
        <v>97</v>
      </c>
      <c r="K751" t="s">
        <v>30</v>
      </c>
      <c r="L751">
        <v>2023</v>
      </c>
      <c r="M751" t="s">
        <v>1935</v>
      </c>
    </row>
    <row r="752" spans="1:13" x14ac:dyDescent="0.35">
      <c r="A752" t="s">
        <v>1936</v>
      </c>
      <c r="B752" t="s">
        <v>1937</v>
      </c>
      <c r="C752" t="s">
        <v>15</v>
      </c>
      <c r="D752" t="s">
        <v>46</v>
      </c>
      <c r="E752" t="s">
        <v>34</v>
      </c>
      <c r="F752" t="s">
        <v>67</v>
      </c>
      <c r="G752" t="s">
        <v>68</v>
      </c>
      <c r="H752">
        <v>244651</v>
      </c>
      <c r="I752">
        <v>16306.08</v>
      </c>
      <c r="J752" t="s">
        <v>97</v>
      </c>
      <c r="K752" t="s">
        <v>53</v>
      </c>
      <c r="L752">
        <v>2024</v>
      </c>
      <c r="M752" t="s">
        <v>1938</v>
      </c>
    </row>
    <row r="753" spans="1:13" x14ac:dyDescent="0.35">
      <c r="A753" t="s">
        <v>1939</v>
      </c>
      <c r="B753" t="s">
        <v>1940</v>
      </c>
      <c r="C753" t="s">
        <v>40</v>
      </c>
      <c r="D753" t="s">
        <v>96</v>
      </c>
      <c r="E753" t="s">
        <v>34</v>
      </c>
      <c r="F753" t="s">
        <v>58</v>
      </c>
      <c r="G753" t="s">
        <v>68</v>
      </c>
      <c r="H753">
        <v>35758</v>
      </c>
      <c r="I753">
        <v>5871.74</v>
      </c>
      <c r="J753" t="s">
        <v>47</v>
      </c>
      <c r="K753" t="s">
        <v>48</v>
      </c>
      <c r="L753">
        <v>2023</v>
      </c>
      <c r="M753" t="s">
        <v>1941</v>
      </c>
    </row>
    <row r="754" spans="1:13" x14ac:dyDescent="0.35">
      <c r="A754" t="s">
        <v>1942</v>
      </c>
      <c r="B754" t="s">
        <v>760</v>
      </c>
      <c r="C754" t="s">
        <v>40</v>
      </c>
      <c r="D754" t="s">
        <v>41</v>
      </c>
      <c r="E754" t="s">
        <v>34</v>
      </c>
      <c r="F754" t="s">
        <v>101</v>
      </c>
      <c r="G754" t="s">
        <v>36</v>
      </c>
      <c r="H754">
        <v>101413</v>
      </c>
      <c r="I754">
        <v>16101.53</v>
      </c>
      <c r="J754" t="s">
        <v>97</v>
      </c>
      <c r="K754" t="s">
        <v>53</v>
      </c>
      <c r="L754">
        <v>2021</v>
      </c>
      <c r="M754" t="s">
        <v>1739</v>
      </c>
    </row>
    <row r="755" spans="1:13" x14ac:dyDescent="0.35">
      <c r="A755" t="s">
        <v>1943</v>
      </c>
      <c r="B755" t="s">
        <v>1322</v>
      </c>
      <c r="C755" t="s">
        <v>15</v>
      </c>
      <c r="D755" t="s">
        <v>57</v>
      </c>
      <c r="E755" t="s">
        <v>17</v>
      </c>
      <c r="F755" t="s">
        <v>18</v>
      </c>
      <c r="G755" t="s">
        <v>78</v>
      </c>
      <c r="H755">
        <v>107865</v>
      </c>
      <c r="I755">
        <v>-86190.38</v>
      </c>
      <c r="J755" t="s">
        <v>20</v>
      </c>
      <c r="K755" t="s">
        <v>48</v>
      </c>
      <c r="L755">
        <v>2023</v>
      </c>
      <c r="M755" t="s">
        <v>1944</v>
      </c>
    </row>
    <row r="756" spans="1:13" x14ac:dyDescent="0.35">
      <c r="A756" t="s">
        <v>1945</v>
      </c>
      <c r="B756" t="s">
        <v>1946</v>
      </c>
      <c r="C756" t="s">
        <v>40</v>
      </c>
      <c r="D756" t="s">
        <v>96</v>
      </c>
      <c r="E756" t="s">
        <v>17</v>
      </c>
      <c r="F756" t="s">
        <v>42</v>
      </c>
      <c r="G756" t="s">
        <v>36</v>
      </c>
      <c r="H756">
        <v>32399</v>
      </c>
      <c r="I756">
        <v>-28127.82</v>
      </c>
      <c r="J756" t="s">
        <v>97</v>
      </c>
      <c r="K756" t="s">
        <v>53</v>
      </c>
      <c r="L756">
        <v>2024</v>
      </c>
      <c r="M756" t="s">
        <v>787</v>
      </c>
    </row>
    <row r="757" spans="1:13" x14ac:dyDescent="0.35">
      <c r="A757" t="s">
        <v>1947</v>
      </c>
      <c r="B757" t="s">
        <v>1948</v>
      </c>
      <c r="C757" t="s">
        <v>15</v>
      </c>
      <c r="D757" t="s">
        <v>57</v>
      </c>
      <c r="E757" t="s">
        <v>17</v>
      </c>
      <c r="F757" t="s">
        <v>42</v>
      </c>
      <c r="G757" t="s">
        <v>19</v>
      </c>
      <c r="H757">
        <v>39275</v>
      </c>
      <c r="I757">
        <v>-28032.68</v>
      </c>
      <c r="J757" t="s">
        <v>79</v>
      </c>
      <c r="K757" t="s">
        <v>53</v>
      </c>
      <c r="L757">
        <v>2024</v>
      </c>
      <c r="M757" t="s">
        <v>539</v>
      </c>
    </row>
    <row r="758" spans="1:13" x14ac:dyDescent="0.35">
      <c r="A758" t="s">
        <v>1949</v>
      </c>
      <c r="B758" t="s">
        <v>587</v>
      </c>
      <c r="C758" t="s">
        <v>15</v>
      </c>
      <c r="D758" t="s">
        <v>57</v>
      </c>
      <c r="E758" t="s">
        <v>34</v>
      </c>
      <c r="F758" t="s">
        <v>67</v>
      </c>
      <c r="G758" t="s">
        <v>19</v>
      </c>
      <c r="H758">
        <v>197398</v>
      </c>
      <c r="I758">
        <v>26072.51</v>
      </c>
      <c r="J758" t="s">
        <v>212</v>
      </c>
      <c r="K758" t="s">
        <v>48</v>
      </c>
      <c r="L758">
        <v>2024</v>
      </c>
      <c r="M758" t="s">
        <v>1938</v>
      </c>
    </row>
    <row r="759" spans="1:13" x14ac:dyDescent="0.35">
      <c r="A759" t="s">
        <v>1950</v>
      </c>
      <c r="B759" t="s">
        <v>1951</v>
      </c>
      <c r="C759" t="s">
        <v>15</v>
      </c>
      <c r="D759" t="s">
        <v>46</v>
      </c>
      <c r="E759" t="s">
        <v>17</v>
      </c>
      <c r="F759" t="s">
        <v>18</v>
      </c>
      <c r="G759" t="s">
        <v>19</v>
      </c>
      <c r="H759">
        <v>34788</v>
      </c>
      <c r="I759">
        <v>-29809.07</v>
      </c>
      <c r="J759" t="s">
        <v>113</v>
      </c>
      <c r="K759" t="s">
        <v>21</v>
      </c>
      <c r="L759">
        <v>2021</v>
      </c>
      <c r="M759" t="s">
        <v>1952</v>
      </c>
    </row>
    <row r="760" spans="1:13" x14ac:dyDescent="0.35">
      <c r="A760" t="s">
        <v>1953</v>
      </c>
      <c r="B760" t="s">
        <v>1094</v>
      </c>
      <c r="C760" t="s">
        <v>15</v>
      </c>
      <c r="D760" t="s">
        <v>16</v>
      </c>
      <c r="E760" t="s">
        <v>17</v>
      </c>
      <c r="F760" t="s">
        <v>52</v>
      </c>
      <c r="G760" t="s">
        <v>36</v>
      </c>
      <c r="H760">
        <v>103273</v>
      </c>
      <c r="I760">
        <v>-81414.259999999995</v>
      </c>
      <c r="J760" t="s">
        <v>20</v>
      </c>
      <c r="K760" t="s">
        <v>53</v>
      </c>
      <c r="L760">
        <v>2022</v>
      </c>
      <c r="M760" t="s">
        <v>1954</v>
      </c>
    </row>
    <row r="761" spans="1:13" x14ac:dyDescent="0.35">
      <c r="A761" t="s">
        <v>1955</v>
      </c>
      <c r="B761" t="s">
        <v>1218</v>
      </c>
      <c r="C761" t="s">
        <v>40</v>
      </c>
      <c r="D761" t="s">
        <v>96</v>
      </c>
      <c r="E761" t="s">
        <v>34</v>
      </c>
      <c r="F761" t="s">
        <v>35</v>
      </c>
      <c r="G761" t="s">
        <v>78</v>
      </c>
      <c r="H761">
        <v>90548</v>
      </c>
      <c r="I761">
        <v>12202.13</v>
      </c>
      <c r="J761" t="s">
        <v>79</v>
      </c>
      <c r="K761" t="s">
        <v>21</v>
      </c>
      <c r="L761">
        <v>2024</v>
      </c>
      <c r="M761" t="s">
        <v>1956</v>
      </c>
    </row>
    <row r="762" spans="1:13" x14ac:dyDescent="0.35">
      <c r="A762" t="s">
        <v>1957</v>
      </c>
      <c r="B762" t="s">
        <v>1958</v>
      </c>
      <c r="C762" t="s">
        <v>15</v>
      </c>
      <c r="D762" t="s">
        <v>16</v>
      </c>
      <c r="E762" t="s">
        <v>34</v>
      </c>
      <c r="F762" t="s">
        <v>101</v>
      </c>
      <c r="G762" t="s">
        <v>36</v>
      </c>
      <c r="H762">
        <v>155895</v>
      </c>
      <c r="I762">
        <v>32989.65</v>
      </c>
      <c r="J762" t="s">
        <v>59</v>
      </c>
      <c r="K762" t="s">
        <v>48</v>
      </c>
      <c r="L762">
        <v>2023</v>
      </c>
      <c r="M762" t="s">
        <v>555</v>
      </c>
    </row>
    <row r="763" spans="1:13" x14ac:dyDescent="0.35">
      <c r="A763" t="s">
        <v>1959</v>
      </c>
      <c r="B763" t="s">
        <v>65</v>
      </c>
      <c r="C763" t="s">
        <v>25</v>
      </c>
      <c r="D763" t="s">
        <v>26</v>
      </c>
      <c r="E763" t="s">
        <v>34</v>
      </c>
      <c r="F763" t="s">
        <v>58</v>
      </c>
      <c r="G763" t="s">
        <v>68</v>
      </c>
      <c r="H763">
        <v>210490</v>
      </c>
      <c r="I763">
        <v>16670.099999999999</v>
      </c>
      <c r="J763" t="s">
        <v>79</v>
      </c>
      <c r="K763" t="s">
        <v>21</v>
      </c>
      <c r="L763">
        <v>2025</v>
      </c>
      <c r="M763" t="s">
        <v>1213</v>
      </c>
    </row>
    <row r="764" spans="1:13" x14ac:dyDescent="0.35">
      <c r="A764" t="s">
        <v>1960</v>
      </c>
      <c r="B764" t="s">
        <v>1961</v>
      </c>
      <c r="C764" t="s">
        <v>25</v>
      </c>
      <c r="D764" t="s">
        <v>149</v>
      </c>
      <c r="E764" t="s">
        <v>34</v>
      </c>
      <c r="F764" t="s">
        <v>35</v>
      </c>
      <c r="G764" t="s">
        <v>68</v>
      </c>
      <c r="H764">
        <v>195915</v>
      </c>
      <c r="I764">
        <v>40892.99</v>
      </c>
      <c r="J764" t="s">
        <v>212</v>
      </c>
      <c r="K764" t="s">
        <v>21</v>
      </c>
      <c r="L764">
        <v>2025</v>
      </c>
      <c r="M764" t="s">
        <v>1962</v>
      </c>
    </row>
    <row r="765" spans="1:13" x14ac:dyDescent="0.35">
      <c r="A765" t="s">
        <v>1963</v>
      </c>
      <c r="B765" t="s">
        <v>1964</v>
      </c>
      <c r="C765" t="s">
        <v>76</v>
      </c>
      <c r="D765" t="s">
        <v>171</v>
      </c>
      <c r="E765" t="s">
        <v>34</v>
      </c>
      <c r="F765" t="s">
        <v>58</v>
      </c>
      <c r="G765" t="s">
        <v>36</v>
      </c>
      <c r="H765">
        <v>146931</v>
      </c>
      <c r="I765">
        <v>18475.919999999998</v>
      </c>
      <c r="J765" t="s">
        <v>29</v>
      </c>
      <c r="K765" t="s">
        <v>21</v>
      </c>
      <c r="L765">
        <v>2021</v>
      </c>
      <c r="M765" t="s">
        <v>1965</v>
      </c>
    </row>
    <row r="766" spans="1:13" x14ac:dyDescent="0.35">
      <c r="A766" t="s">
        <v>1966</v>
      </c>
      <c r="B766" t="s">
        <v>1967</v>
      </c>
      <c r="C766" t="s">
        <v>25</v>
      </c>
      <c r="D766" t="s">
        <v>26</v>
      </c>
      <c r="E766" t="s">
        <v>17</v>
      </c>
      <c r="F766" t="s">
        <v>112</v>
      </c>
      <c r="G766" t="s">
        <v>36</v>
      </c>
      <c r="H766">
        <v>46163</v>
      </c>
      <c r="I766">
        <v>-41237.339999999997</v>
      </c>
      <c r="J766" t="s">
        <v>79</v>
      </c>
      <c r="K766" t="s">
        <v>30</v>
      </c>
      <c r="L766">
        <v>2024</v>
      </c>
      <c r="M766" t="s">
        <v>201</v>
      </c>
    </row>
    <row r="767" spans="1:13" x14ac:dyDescent="0.35">
      <c r="A767" t="s">
        <v>1968</v>
      </c>
      <c r="B767" t="s">
        <v>830</v>
      </c>
      <c r="C767" t="s">
        <v>40</v>
      </c>
      <c r="D767" t="s">
        <v>66</v>
      </c>
      <c r="E767" t="s">
        <v>34</v>
      </c>
      <c r="F767" t="s">
        <v>67</v>
      </c>
      <c r="G767" t="s">
        <v>68</v>
      </c>
      <c r="H767">
        <v>220596</v>
      </c>
      <c r="I767">
        <v>30645.88</v>
      </c>
      <c r="J767" t="s">
        <v>79</v>
      </c>
      <c r="K767" t="s">
        <v>48</v>
      </c>
      <c r="L767">
        <v>2023</v>
      </c>
      <c r="M767" t="s">
        <v>1969</v>
      </c>
    </row>
    <row r="768" spans="1:13" x14ac:dyDescent="0.35">
      <c r="A768" t="s">
        <v>1970</v>
      </c>
      <c r="B768" t="s">
        <v>1971</v>
      </c>
      <c r="C768" t="s">
        <v>76</v>
      </c>
      <c r="D768" t="s">
        <v>105</v>
      </c>
      <c r="E768" t="s">
        <v>34</v>
      </c>
      <c r="F768" t="s">
        <v>58</v>
      </c>
      <c r="G768" t="s">
        <v>68</v>
      </c>
      <c r="H768">
        <v>178976</v>
      </c>
      <c r="I768">
        <v>42796.89</v>
      </c>
      <c r="J768" t="s">
        <v>47</v>
      </c>
      <c r="K768" t="s">
        <v>30</v>
      </c>
      <c r="L768">
        <v>2022</v>
      </c>
      <c r="M768" t="s">
        <v>1736</v>
      </c>
    </row>
    <row r="769" spans="1:13" x14ac:dyDescent="0.35">
      <c r="A769" t="s">
        <v>1972</v>
      </c>
      <c r="B769" t="s">
        <v>1973</v>
      </c>
      <c r="C769" t="s">
        <v>76</v>
      </c>
      <c r="D769" t="s">
        <v>77</v>
      </c>
      <c r="E769" t="s">
        <v>34</v>
      </c>
      <c r="F769" t="s">
        <v>58</v>
      </c>
      <c r="G769" t="s">
        <v>78</v>
      </c>
      <c r="H769">
        <v>43264</v>
      </c>
      <c r="I769">
        <v>9661.14</v>
      </c>
      <c r="J769" t="s">
        <v>79</v>
      </c>
      <c r="K769" t="s">
        <v>30</v>
      </c>
      <c r="L769">
        <v>2025</v>
      </c>
      <c r="M769" t="s">
        <v>1974</v>
      </c>
    </row>
    <row r="770" spans="1:13" x14ac:dyDescent="0.35">
      <c r="A770" t="s">
        <v>1975</v>
      </c>
      <c r="B770" t="s">
        <v>1976</v>
      </c>
      <c r="C770" t="s">
        <v>15</v>
      </c>
      <c r="D770" t="s">
        <v>46</v>
      </c>
      <c r="E770" t="s">
        <v>34</v>
      </c>
      <c r="F770" t="s">
        <v>101</v>
      </c>
      <c r="G770" t="s">
        <v>19</v>
      </c>
      <c r="H770">
        <v>205394</v>
      </c>
      <c r="I770">
        <v>35801.839999999997</v>
      </c>
      <c r="J770" t="s">
        <v>212</v>
      </c>
      <c r="K770" t="s">
        <v>30</v>
      </c>
      <c r="L770">
        <v>2023</v>
      </c>
      <c r="M770" t="s">
        <v>1977</v>
      </c>
    </row>
    <row r="771" spans="1:13" x14ac:dyDescent="0.35">
      <c r="A771" t="s">
        <v>1978</v>
      </c>
      <c r="B771" t="s">
        <v>647</v>
      </c>
      <c r="C771" t="s">
        <v>40</v>
      </c>
      <c r="D771" t="s">
        <v>66</v>
      </c>
      <c r="E771" t="s">
        <v>138</v>
      </c>
      <c r="F771" t="s">
        <v>208</v>
      </c>
      <c r="G771" t="s">
        <v>36</v>
      </c>
      <c r="H771">
        <v>434320</v>
      </c>
      <c r="I771">
        <v>-74603.58</v>
      </c>
      <c r="J771" t="s">
        <v>29</v>
      </c>
      <c r="K771" t="s">
        <v>48</v>
      </c>
      <c r="L771">
        <v>2022</v>
      </c>
      <c r="M771" t="s">
        <v>1000</v>
      </c>
    </row>
    <row r="772" spans="1:13" x14ac:dyDescent="0.35">
      <c r="A772" t="s">
        <v>1979</v>
      </c>
      <c r="B772" t="s">
        <v>1980</v>
      </c>
      <c r="C772" t="s">
        <v>15</v>
      </c>
      <c r="D772" t="s">
        <v>57</v>
      </c>
      <c r="E772" t="s">
        <v>17</v>
      </c>
      <c r="F772" t="s">
        <v>112</v>
      </c>
      <c r="G772" t="s">
        <v>36</v>
      </c>
      <c r="H772">
        <v>121929</v>
      </c>
      <c r="I772">
        <v>-93972.63</v>
      </c>
      <c r="J772" t="s">
        <v>97</v>
      </c>
      <c r="K772" t="s">
        <v>53</v>
      </c>
      <c r="L772">
        <v>2021</v>
      </c>
      <c r="M772" t="s">
        <v>1130</v>
      </c>
    </row>
    <row r="773" spans="1:13" x14ac:dyDescent="0.35">
      <c r="A773" t="s">
        <v>1981</v>
      </c>
      <c r="B773" t="s">
        <v>1982</v>
      </c>
      <c r="C773" t="s">
        <v>15</v>
      </c>
      <c r="D773" t="s">
        <v>16</v>
      </c>
      <c r="E773" t="s">
        <v>17</v>
      </c>
      <c r="F773" t="s">
        <v>52</v>
      </c>
      <c r="G773" t="s">
        <v>36</v>
      </c>
      <c r="H773">
        <v>161066</v>
      </c>
      <c r="I773">
        <v>-138891.60999999999</v>
      </c>
      <c r="J773" t="s">
        <v>47</v>
      </c>
      <c r="K773" t="s">
        <v>30</v>
      </c>
      <c r="L773">
        <v>2022</v>
      </c>
      <c r="M773" t="s">
        <v>541</v>
      </c>
    </row>
    <row r="774" spans="1:13" x14ac:dyDescent="0.35">
      <c r="A774" t="s">
        <v>1983</v>
      </c>
      <c r="B774" t="s">
        <v>1021</v>
      </c>
      <c r="C774" t="s">
        <v>40</v>
      </c>
      <c r="D774" t="s">
        <v>96</v>
      </c>
      <c r="E774" t="s">
        <v>34</v>
      </c>
      <c r="F774" t="s">
        <v>101</v>
      </c>
      <c r="G774" t="s">
        <v>78</v>
      </c>
      <c r="H774">
        <v>94938</v>
      </c>
      <c r="I774">
        <v>17455.150000000001</v>
      </c>
      <c r="J774" t="s">
        <v>97</v>
      </c>
      <c r="K774" t="s">
        <v>53</v>
      </c>
      <c r="L774">
        <v>2024</v>
      </c>
      <c r="M774" t="s">
        <v>1984</v>
      </c>
    </row>
    <row r="775" spans="1:13" x14ac:dyDescent="0.35">
      <c r="A775" t="s">
        <v>1985</v>
      </c>
      <c r="B775" t="s">
        <v>1986</v>
      </c>
      <c r="C775" t="s">
        <v>76</v>
      </c>
      <c r="D775" t="s">
        <v>105</v>
      </c>
      <c r="E775" t="s">
        <v>34</v>
      </c>
      <c r="F775" t="s">
        <v>101</v>
      </c>
      <c r="G775" t="s">
        <v>68</v>
      </c>
      <c r="H775">
        <v>270396</v>
      </c>
      <c r="I775">
        <v>48165.15</v>
      </c>
      <c r="J775" t="s">
        <v>212</v>
      </c>
      <c r="K775" t="s">
        <v>48</v>
      </c>
      <c r="L775">
        <v>2022</v>
      </c>
      <c r="M775" t="s">
        <v>761</v>
      </c>
    </row>
    <row r="776" spans="1:13" x14ac:dyDescent="0.35">
      <c r="A776" t="s">
        <v>1987</v>
      </c>
      <c r="B776" t="s">
        <v>1988</v>
      </c>
      <c r="C776" t="s">
        <v>25</v>
      </c>
      <c r="D776" t="s">
        <v>83</v>
      </c>
      <c r="E776" t="s">
        <v>17</v>
      </c>
      <c r="F776" t="s">
        <v>72</v>
      </c>
      <c r="G776" t="s">
        <v>19</v>
      </c>
      <c r="H776">
        <v>79828</v>
      </c>
      <c r="I776">
        <v>-72495.47</v>
      </c>
      <c r="J776" t="s">
        <v>20</v>
      </c>
      <c r="K776" t="s">
        <v>53</v>
      </c>
      <c r="L776">
        <v>2024</v>
      </c>
      <c r="M776" t="s">
        <v>1152</v>
      </c>
    </row>
    <row r="777" spans="1:13" x14ac:dyDescent="0.35">
      <c r="A777" t="s">
        <v>1989</v>
      </c>
      <c r="B777" t="s">
        <v>1990</v>
      </c>
      <c r="C777" t="s">
        <v>40</v>
      </c>
      <c r="D777" t="s">
        <v>96</v>
      </c>
      <c r="E777" t="s">
        <v>17</v>
      </c>
      <c r="F777" t="s">
        <v>52</v>
      </c>
      <c r="G777" t="s">
        <v>36</v>
      </c>
      <c r="H777">
        <v>154562</v>
      </c>
      <c r="I777">
        <v>-115645.63</v>
      </c>
      <c r="J777" t="s">
        <v>20</v>
      </c>
      <c r="K777" t="s">
        <v>48</v>
      </c>
      <c r="L777">
        <v>2022</v>
      </c>
      <c r="M777" t="s">
        <v>1171</v>
      </c>
    </row>
    <row r="778" spans="1:13" x14ac:dyDescent="0.35">
      <c r="A778" t="s">
        <v>1991</v>
      </c>
      <c r="B778" t="s">
        <v>715</v>
      </c>
      <c r="C778" t="s">
        <v>76</v>
      </c>
      <c r="D778" t="s">
        <v>105</v>
      </c>
      <c r="E778" t="s">
        <v>34</v>
      </c>
      <c r="F778" t="s">
        <v>101</v>
      </c>
      <c r="G778" t="s">
        <v>19</v>
      </c>
      <c r="H778">
        <v>192512</v>
      </c>
      <c r="I778">
        <v>32418.09</v>
      </c>
      <c r="J778" t="s">
        <v>29</v>
      </c>
      <c r="K778" t="s">
        <v>48</v>
      </c>
      <c r="L778">
        <v>2023</v>
      </c>
      <c r="M778" t="s">
        <v>1564</v>
      </c>
    </row>
    <row r="779" spans="1:13" x14ac:dyDescent="0.35">
      <c r="A779" t="s">
        <v>1992</v>
      </c>
      <c r="B779" t="s">
        <v>1993</v>
      </c>
      <c r="C779" t="s">
        <v>25</v>
      </c>
      <c r="D779" t="s">
        <v>83</v>
      </c>
      <c r="E779" t="s">
        <v>17</v>
      </c>
      <c r="F779" t="s">
        <v>112</v>
      </c>
      <c r="G779" t="s">
        <v>36</v>
      </c>
      <c r="H779">
        <v>89318</v>
      </c>
      <c r="I779">
        <v>-81082.33</v>
      </c>
      <c r="J779" t="s">
        <v>79</v>
      </c>
      <c r="K779" t="s">
        <v>30</v>
      </c>
      <c r="L779">
        <v>2025</v>
      </c>
      <c r="M779" t="s">
        <v>555</v>
      </c>
    </row>
    <row r="780" spans="1:13" x14ac:dyDescent="0.35">
      <c r="A780" t="s">
        <v>1994</v>
      </c>
      <c r="B780" t="s">
        <v>1995</v>
      </c>
      <c r="C780" t="s">
        <v>25</v>
      </c>
      <c r="D780" t="s">
        <v>26</v>
      </c>
      <c r="E780" t="s">
        <v>34</v>
      </c>
      <c r="F780" t="s">
        <v>101</v>
      </c>
      <c r="G780" t="s">
        <v>78</v>
      </c>
      <c r="H780">
        <v>32945</v>
      </c>
      <c r="I780">
        <v>6619.83</v>
      </c>
      <c r="J780" t="s">
        <v>29</v>
      </c>
      <c r="K780" t="s">
        <v>53</v>
      </c>
      <c r="L780">
        <v>2025</v>
      </c>
      <c r="M780" t="s">
        <v>22</v>
      </c>
    </row>
    <row r="781" spans="1:13" x14ac:dyDescent="0.35">
      <c r="A781" t="s">
        <v>1996</v>
      </c>
      <c r="B781" t="s">
        <v>1997</v>
      </c>
      <c r="C781" t="s">
        <v>25</v>
      </c>
      <c r="D781" t="s">
        <v>83</v>
      </c>
      <c r="E781" t="s">
        <v>27</v>
      </c>
      <c r="F781" t="s">
        <v>28</v>
      </c>
      <c r="G781" t="s">
        <v>68</v>
      </c>
      <c r="H781">
        <v>608399</v>
      </c>
      <c r="I781">
        <v>55766.1</v>
      </c>
      <c r="J781" t="s">
        <v>47</v>
      </c>
      <c r="K781" t="s">
        <v>21</v>
      </c>
      <c r="L781">
        <v>2022</v>
      </c>
      <c r="M781" t="s">
        <v>1998</v>
      </c>
    </row>
    <row r="782" spans="1:13" x14ac:dyDescent="0.35">
      <c r="A782" t="s">
        <v>1999</v>
      </c>
      <c r="B782" t="s">
        <v>2000</v>
      </c>
      <c r="C782" t="s">
        <v>25</v>
      </c>
      <c r="D782" t="s">
        <v>83</v>
      </c>
      <c r="E782" t="s">
        <v>17</v>
      </c>
      <c r="F782" t="s">
        <v>52</v>
      </c>
      <c r="G782" t="s">
        <v>19</v>
      </c>
      <c r="H782">
        <v>7308</v>
      </c>
      <c r="I782">
        <v>-6127.42</v>
      </c>
      <c r="J782" t="s">
        <v>47</v>
      </c>
      <c r="K782" t="s">
        <v>48</v>
      </c>
      <c r="L782">
        <v>2024</v>
      </c>
      <c r="M782" t="s">
        <v>2001</v>
      </c>
    </row>
    <row r="783" spans="1:13" x14ac:dyDescent="0.35">
      <c r="A783" t="s">
        <v>2002</v>
      </c>
      <c r="B783" t="s">
        <v>2003</v>
      </c>
      <c r="C783" t="s">
        <v>40</v>
      </c>
      <c r="D783" t="s">
        <v>41</v>
      </c>
      <c r="E783" t="s">
        <v>34</v>
      </c>
      <c r="F783" t="s">
        <v>58</v>
      </c>
      <c r="G783" t="s">
        <v>36</v>
      </c>
      <c r="H783">
        <v>205210</v>
      </c>
      <c r="I783">
        <v>34094.379999999997</v>
      </c>
      <c r="J783" t="s">
        <v>20</v>
      </c>
      <c r="K783" t="s">
        <v>21</v>
      </c>
      <c r="L783">
        <v>2022</v>
      </c>
      <c r="M783" t="s">
        <v>216</v>
      </c>
    </row>
    <row r="784" spans="1:13" x14ac:dyDescent="0.35">
      <c r="A784" t="s">
        <v>2004</v>
      </c>
      <c r="B784" t="s">
        <v>2005</v>
      </c>
      <c r="C784" t="s">
        <v>15</v>
      </c>
      <c r="D784" t="s">
        <v>46</v>
      </c>
      <c r="E784" t="s">
        <v>34</v>
      </c>
      <c r="F784" t="s">
        <v>101</v>
      </c>
      <c r="G784" t="s">
        <v>78</v>
      </c>
      <c r="H784">
        <v>82639</v>
      </c>
      <c r="I784">
        <v>9479.43</v>
      </c>
      <c r="J784" t="s">
        <v>47</v>
      </c>
      <c r="K784" t="s">
        <v>21</v>
      </c>
      <c r="L784">
        <v>2025</v>
      </c>
      <c r="M784" t="s">
        <v>1285</v>
      </c>
    </row>
    <row r="785" spans="1:13" x14ac:dyDescent="0.35">
      <c r="A785" t="s">
        <v>2006</v>
      </c>
      <c r="B785" t="s">
        <v>2007</v>
      </c>
      <c r="C785" t="s">
        <v>40</v>
      </c>
      <c r="D785" t="s">
        <v>96</v>
      </c>
      <c r="E785" t="s">
        <v>17</v>
      </c>
      <c r="F785" t="s">
        <v>18</v>
      </c>
      <c r="G785" t="s">
        <v>19</v>
      </c>
      <c r="H785">
        <v>75061</v>
      </c>
      <c r="I785">
        <v>-61490.03</v>
      </c>
      <c r="J785" t="s">
        <v>113</v>
      </c>
      <c r="K785" t="s">
        <v>48</v>
      </c>
      <c r="L785">
        <v>2021</v>
      </c>
      <c r="M785" t="s">
        <v>1034</v>
      </c>
    </row>
    <row r="786" spans="1:13" x14ac:dyDescent="0.35">
      <c r="A786" t="s">
        <v>2008</v>
      </c>
      <c r="B786" t="s">
        <v>2009</v>
      </c>
      <c r="C786" t="s">
        <v>40</v>
      </c>
      <c r="D786" t="s">
        <v>96</v>
      </c>
      <c r="E786" t="s">
        <v>138</v>
      </c>
      <c r="F786" t="s">
        <v>208</v>
      </c>
      <c r="G786" t="s">
        <v>68</v>
      </c>
      <c r="H786">
        <v>319208</v>
      </c>
      <c r="I786">
        <v>-42213.48</v>
      </c>
      <c r="J786" t="s">
        <v>97</v>
      </c>
      <c r="K786" t="s">
        <v>48</v>
      </c>
      <c r="L786">
        <v>2023</v>
      </c>
      <c r="M786" t="s">
        <v>1320</v>
      </c>
    </row>
    <row r="787" spans="1:13" x14ac:dyDescent="0.35">
      <c r="A787" t="s">
        <v>2010</v>
      </c>
      <c r="B787" t="s">
        <v>33</v>
      </c>
      <c r="C787" t="s">
        <v>40</v>
      </c>
      <c r="D787" t="s">
        <v>41</v>
      </c>
      <c r="E787" t="s">
        <v>17</v>
      </c>
      <c r="F787" t="s">
        <v>42</v>
      </c>
      <c r="G787" t="s">
        <v>78</v>
      </c>
      <c r="H787">
        <v>125808</v>
      </c>
      <c r="I787">
        <v>-88621.92</v>
      </c>
      <c r="J787" t="s">
        <v>97</v>
      </c>
      <c r="K787" t="s">
        <v>21</v>
      </c>
      <c r="L787">
        <v>2024</v>
      </c>
      <c r="M787" t="s">
        <v>1227</v>
      </c>
    </row>
    <row r="788" spans="1:13" x14ac:dyDescent="0.35">
      <c r="A788" t="s">
        <v>2011</v>
      </c>
      <c r="B788" t="s">
        <v>1193</v>
      </c>
      <c r="C788" t="s">
        <v>25</v>
      </c>
      <c r="D788" t="s">
        <v>26</v>
      </c>
      <c r="E788" t="s">
        <v>17</v>
      </c>
      <c r="F788" t="s">
        <v>112</v>
      </c>
      <c r="G788" t="s">
        <v>36</v>
      </c>
      <c r="H788">
        <v>116067</v>
      </c>
      <c r="I788">
        <v>-115479.97</v>
      </c>
      <c r="J788" t="s">
        <v>113</v>
      </c>
      <c r="K788" t="s">
        <v>48</v>
      </c>
      <c r="L788">
        <v>2024</v>
      </c>
      <c r="M788" t="s">
        <v>1242</v>
      </c>
    </row>
    <row r="789" spans="1:13" x14ac:dyDescent="0.35">
      <c r="A789" t="s">
        <v>2012</v>
      </c>
      <c r="B789" t="s">
        <v>2013</v>
      </c>
      <c r="C789" t="s">
        <v>40</v>
      </c>
      <c r="D789" t="s">
        <v>66</v>
      </c>
      <c r="E789" t="s">
        <v>34</v>
      </c>
      <c r="F789" t="s">
        <v>58</v>
      </c>
      <c r="G789" t="s">
        <v>78</v>
      </c>
      <c r="H789">
        <v>152032</v>
      </c>
      <c r="I789">
        <v>34886.58</v>
      </c>
      <c r="J789" t="s">
        <v>212</v>
      </c>
      <c r="K789" t="s">
        <v>30</v>
      </c>
      <c r="L789">
        <v>2023</v>
      </c>
      <c r="M789" t="s">
        <v>2014</v>
      </c>
    </row>
    <row r="790" spans="1:13" x14ac:dyDescent="0.35">
      <c r="A790" t="s">
        <v>2015</v>
      </c>
      <c r="B790" t="s">
        <v>2016</v>
      </c>
      <c r="C790" t="s">
        <v>25</v>
      </c>
      <c r="D790" t="s">
        <v>149</v>
      </c>
      <c r="E790" t="s">
        <v>27</v>
      </c>
      <c r="F790" t="s">
        <v>204</v>
      </c>
      <c r="G790" t="s">
        <v>68</v>
      </c>
      <c r="H790">
        <v>572849</v>
      </c>
      <c r="I790">
        <v>68131.12</v>
      </c>
      <c r="J790" t="s">
        <v>59</v>
      </c>
      <c r="K790" t="s">
        <v>53</v>
      </c>
      <c r="L790">
        <v>2021</v>
      </c>
      <c r="M790" t="s">
        <v>2017</v>
      </c>
    </row>
    <row r="791" spans="1:13" x14ac:dyDescent="0.35">
      <c r="A791" t="s">
        <v>2018</v>
      </c>
      <c r="B791" t="s">
        <v>2019</v>
      </c>
      <c r="C791" t="s">
        <v>25</v>
      </c>
      <c r="D791" t="s">
        <v>149</v>
      </c>
      <c r="E791" t="s">
        <v>17</v>
      </c>
      <c r="F791" t="s">
        <v>112</v>
      </c>
      <c r="G791" t="s">
        <v>36</v>
      </c>
      <c r="H791">
        <v>66806</v>
      </c>
      <c r="I791">
        <v>-47185.88</v>
      </c>
      <c r="J791" t="s">
        <v>47</v>
      </c>
      <c r="K791" t="s">
        <v>21</v>
      </c>
      <c r="L791">
        <v>2023</v>
      </c>
      <c r="M791" t="s">
        <v>631</v>
      </c>
    </row>
    <row r="792" spans="1:13" x14ac:dyDescent="0.35">
      <c r="A792" t="s">
        <v>2020</v>
      </c>
      <c r="B792" t="s">
        <v>491</v>
      </c>
      <c r="C792" t="s">
        <v>25</v>
      </c>
      <c r="D792" t="s">
        <v>26</v>
      </c>
      <c r="E792" t="s">
        <v>17</v>
      </c>
      <c r="F792" t="s">
        <v>72</v>
      </c>
      <c r="G792" t="s">
        <v>78</v>
      </c>
      <c r="H792">
        <v>148280</v>
      </c>
      <c r="I792">
        <v>-144766.22</v>
      </c>
      <c r="J792" t="s">
        <v>29</v>
      </c>
      <c r="K792" t="s">
        <v>48</v>
      </c>
      <c r="L792">
        <v>2022</v>
      </c>
      <c r="M792" t="s">
        <v>2021</v>
      </c>
    </row>
    <row r="793" spans="1:13" x14ac:dyDescent="0.35">
      <c r="A793" t="s">
        <v>2022</v>
      </c>
      <c r="B793" t="s">
        <v>2023</v>
      </c>
      <c r="C793" t="s">
        <v>40</v>
      </c>
      <c r="D793" t="s">
        <v>41</v>
      </c>
      <c r="E793" t="s">
        <v>34</v>
      </c>
      <c r="F793" t="s">
        <v>101</v>
      </c>
      <c r="G793" t="s">
        <v>78</v>
      </c>
      <c r="H793">
        <v>149279</v>
      </c>
      <c r="I793">
        <v>32222.74</v>
      </c>
      <c r="J793" t="s">
        <v>79</v>
      </c>
      <c r="K793" t="s">
        <v>48</v>
      </c>
      <c r="L793">
        <v>2024</v>
      </c>
      <c r="M793" t="s">
        <v>2024</v>
      </c>
    </row>
    <row r="794" spans="1:13" x14ac:dyDescent="0.35">
      <c r="A794" t="s">
        <v>2025</v>
      </c>
      <c r="B794" t="s">
        <v>2026</v>
      </c>
      <c r="C794" t="s">
        <v>15</v>
      </c>
      <c r="D794" t="s">
        <v>16</v>
      </c>
      <c r="E794" t="s">
        <v>34</v>
      </c>
      <c r="F794" t="s">
        <v>101</v>
      </c>
      <c r="G794" t="s">
        <v>19</v>
      </c>
      <c r="H794">
        <v>81592</v>
      </c>
      <c r="I794">
        <v>6234.27</v>
      </c>
      <c r="J794" t="s">
        <v>113</v>
      </c>
      <c r="K794" t="s">
        <v>48</v>
      </c>
      <c r="L794">
        <v>2024</v>
      </c>
      <c r="M794" t="s">
        <v>428</v>
      </c>
    </row>
    <row r="795" spans="1:13" x14ac:dyDescent="0.35">
      <c r="A795" t="s">
        <v>2027</v>
      </c>
      <c r="B795" t="s">
        <v>2028</v>
      </c>
      <c r="C795" t="s">
        <v>25</v>
      </c>
      <c r="D795" t="s">
        <v>83</v>
      </c>
      <c r="E795" t="s">
        <v>34</v>
      </c>
      <c r="F795" t="s">
        <v>67</v>
      </c>
      <c r="G795" t="s">
        <v>36</v>
      </c>
      <c r="H795">
        <v>65849</v>
      </c>
      <c r="I795">
        <v>15642.52</v>
      </c>
      <c r="J795" t="s">
        <v>79</v>
      </c>
      <c r="K795" t="s">
        <v>30</v>
      </c>
      <c r="L795">
        <v>2023</v>
      </c>
      <c r="M795" t="s">
        <v>740</v>
      </c>
    </row>
    <row r="796" spans="1:13" x14ac:dyDescent="0.35">
      <c r="A796" t="s">
        <v>2029</v>
      </c>
      <c r="B796" t="s">
        <v>299</v>
      </c>
      <c r="C796" t="s">
        <v>76</v>
      </c>
      <c r="D796" t="s">
        <v>77</v>
      </c>
      <c r="E796" t="s">
        <v>34</v>
      </c>
      <c r="F796" t="s">
        <v>58</v>
      </c>
      <c r="G796" t="s">
        <v>78</v>
      </c>
      <c r="H796">
        <v>59835</v>
      </c>
      <c r="I796">
        <v>11154.6</v>
      </c>
      <c r="J796" t="s">
        <v>212</v>
      </c>
      <c r="K796" t="s">
        <v>48</v>
      </c>
      <c r="L796">
        <v>2024</v>
      </c>
      <c r="M796" t="s">
        <v>2030</v>
      </c>
    </row>
    <row r="797" spans="1:13" x14ac:dyDescent="0.35">
      <c r="A797" t="s">
        <v>2031</v>
      </c>
      <c r="B797" t="s">
        <v>2032</v>
      </c>
      <c r="C797" t="s">
        <v>25</v>
      </c>
      <c r="D797" t="s">
        <v>83</v>
      </c>
      <c r="E797" t="s">
        <v>34</v>
      </c>
      <c r="F797" t="s">
        <v>58</v>
      </c>
      <c r="G797" t="s">
        <v>36</v>
      </c>
      <c r="H797">
        <v>47090</v>
      </c>
      <c r="I797">
        <v>6005.71</v>
      </c>
      <c r="J797" t="s">
        <v>20</v>
      </c>
      <c r="K797" t="s">
        <v>53</v>
      </c>
      <c r="L797">
        <v>2021</v>
      </c>
      <c r="M797" t="s">
        <v>1671</v>
      </c>
    </row>
    <row r="798" spans="1:13" x14ac:dyDescent="0.35">
      <c r="A798" t="s">
        <v>2033</v>
      </c>
      <c r="B798" t="s">
        <v>2034</v>
      </c>
      <c r="C798" t="s">
        <v>25</v>
      </c>
      <c r="D798" t="s">
        <v>149</v>
      </c>
      <c r="E798" t="s">
        <v>17</v>
      </c>
      <c r="F798" t="s">
        <v>42</v>
      </c>
      <c r="G798" t="s">
        <v>19</v>
      </c>
      <c r="H798">
        <v>127960</v>
      </c>
      <c r="I798">
        <v>-107902.71</v>
      </c>
      <c r="J798" t="s">
        <v>79</v>
      </c>
      <c r="K798" t="s">
        <v>53</v>
      </c>
      <c r="L798">
        <v>2024</v>
      </c>
      <c r="M798" t="s">
        <v>2035</v>
      </c>
    </row>
    <row r="799" spans="1:13" x14ac:dyDescent="0.35">
      <c r="A799" t="s">
        <v>2036</v>
      </c>
      <c r="B799" t="s">
        <v>794</v>
      </c>
      <c r="C799" t="s">
        <v>25</v>
      </c>
      <c r="D799" t="s">
        <v>83</v>
      </c>
      <c r="E799" t="s">
        <v>34</v>
      </c>
      <c r="F799" t="s">
        <v>35</v>
      </c>
      <c r="G799" t="s">
        <v>68</v>
      </c>
      <c r="H799">
        <v>181014</v>
      </c>
      <c r="I799">
        <v>22536.959999999999</v>
      </c>
      <c r="J799" t="s">
        <v>20</v>
      </c>
      <c r="K799" t="s">
        <v>48</v>
      </c>
      <c r="L799">
        <v>2024</v>
      </c>
      <c r="M799" t="s">
        <v>2037</v>
      </c>
    </row>
    <row r="800" spans="1:13" x14ac:dyDescent="0.35">
      <c r="A800" t="s">
        <v>2038</v>
      </c>
      <c r="B800" t="s">
        <v>2039</v>
      </c>
      <c r="C800" t="s">
        <v>40</v>
      </c>
      <c r="D800" t="s">
        <v>66</v>
      </c>
      <c r="E800" t="s">
        <v>17</v>
      </c>
      <c r="F800" t="s">
        <v>112</v>
      </c>
      <c r="G800" t="s">
        <v>19</v>
      </c>
      <c r="H800">
        <v>165807</v>
      </c>
      <c r="I800">
        <v>-130946.59</v>
      </c>
      <c r="J800" t="s">
        <v>97</v>
      </c>
      <c r="K800" t="s">
        <v>21</v>
      </c>
      <c r="L800">
        <v>2021</v>
      </c>
      <c r="M800" t="s">
        <v>2040</v>
      </c>
    </row>
    <row r="801" spans="1:13" x14ac:dyDescent="0.35">
      <c r="A801" t="s">
        <v>2041</v>
      </c>
      <c r="B801" t="s">
        <v>2042</v>
      </c>
      <c r="C801" t="s">
        <v>40</v>
      </c>
      <c r="D801" t="s">
        <v>66</v>
      </c>
      <c r="E801" t="s">
        <v>34</v>
      </c>
      <c r="F801" t="s">
        <v>67</v>
      </c>
      <c r="G801" t="s">
        <v>19</v>
      </c>
      <c r="H801">
        <v>237444</v>
      </c>
      <c r="I801">
        <v>28822.34</v>
      </c>
      <c r="J801" t="s">
        <v>47</v>
      </c>
      <c r="K801" t="s">
        <v>21</v>
      </c>
      <c r="L801">
        <v>2025</v>
      </c>
      <c r="M801" t="s">
        <v>2043</v>
      </c>
    </row>
    <row r="802" spans="1:13" x14ac:dyDescent="0.35">
      <c r="A802" t="s">
        <v>2044</v>
      </c>
      <c r="B802" t="s">
        <v>2045</v>
      </c>
      <c r="C802" t="s">
        <v>25</v>
      </c>
      <c r="D802" t="s">
        <v>26</v>
      </c>
      <c r="E802" t="s">
        <v>17</v>
      </c>
      <c r="F802" t="s">
        <v>42</v>
      </c>
      <c r="G802" t="s">
        <v>36</v>
      </c>
      <c r="H802">
        <v>112583</v>
      </c>
      <c r="I802">
        <v>-95742.49</v>
      </c>
      <c r="J802" t="s">
        <v>29</v>
      </c>
      <c r="K802" t="s">
        <v>53</v>
      </c>
      <c r="L802">
        <v>2022</v>
      </c>
      <c r="M802" t="s">
        <v>2046</v>
      </c>
    </row>
    <row r="803" spans="1:13" x14ac:dyDescent="0.35">
      <c r="A803" t="s">
        <v>2047</v>
      </c>
      <c r="B803" t="s">
        <v>438</v>
      </c>
      <c r="C803" t="s">
        <v>15</v>
      </c>
      <c r="D803" t="s">
        <v>16</v>
      </c>
      <c r="E803" t="s">
        <v>34</v>
      </c>
      <c r="F803" t="s">
        <v>58</v>
      </c>
      <c r="G803" t="s">
        <v>78</v>
      </c>
      <c r="H803">
        <v>67007</v>
      </c>
      <c r="I803">
        <v>5399.56</v>
      </c>
      <c r="J803" t="s">
        <v>113</v>
      </c>
      <c r="K803" t="s">
        <v>53</v>
      </c>
      <c r="L803">
        <v>2024</v>
      </c>
      <c r="M803" t="s">
        <v>2048</v>
      </c>
    </row>
    <row r="804" spans="1:13" x14ac:dyDescent="0.35">
      <c r="A804" t="s">
        <v>2049</v>
      </c>
      <c r="B804" t="s">
        <v>2050</v>
      </c>
      <c r="C804" t="s">
        <v>40</v>
      </c>
      <c r="D804" t="s">
        <v>96</v>
      </c>
      <c r="E804" t="s">
        <v>27</v>
      </c>
      <c r="F804" t="s">
        <v>219</v>
      </c>
      <c r="G804" t="s">
        <v>19</v>
      </c>
      <c r="H804">
        <v>426159</v>
      </c>
      <c r="I804">
        <v>9115.1200000000008</v>
      </c>
      <c r="J804" t="s">
        <v>97</v>
      </c>
      <c r="K804" t="s">
        <v>21</v>
      </c>
      <c r="L804">
        <v>2022</v>
      </c>
      <c r="M804" t="s">
        <v>2051</v>
      </c>
    </row>
    <row r="805" spans="1:13" x14ac:dyDescent="0.35">
      <c r="A805" t="s">
        <v>2052</v>
      </c>
      <c r="B805" t="s">
        <v>579</v>
      </c>
      <c r="C805" t="s">
        <v>25</v>
      </c>
      <c r="D805" t="s">
        <v>26</v>
      </c>
      <c r="E805" t="s">
        <v>34</v>
      </c>
      <c r="F805" t="s">
        <v>67</v>
      </c>
      <c r="G805" t="s">
        <v>19</v>
      </c>
      <c r="H805">
        <v>25298</v>
      </c>
      <c r="I805">
        <v>5088.41</v>
      </c>
      <c r="J805" t="s">
        <v>59</v>
      </c>
      <c r="K805" t="s">
        <v>48</v>
      </c>
      <c r="L805">
        <v>2025</v>
      </c>
      <c r="M805" t="s">
        <v>1360</v>
      </c>
    </row>
    <row r="806" spans="1:13" x14ac:dyDescent="0.35">
      <c r="A806" t="s">
        <v>2053</v>
      </c>
      <c r="B806" t="s">
        <v>2054</v>
      </c>
      <c r="C806" t="s">
        <v>25</v>
      </c>
      <c r="D806" t="s">
        <v>149</v>
      </c>
      <c r="E806" t="s">
        <v>34</v>
      </c>
      <c r="F806" t="s">
        <v>58</v>
      </c>
      <c r="G806" t="s">
        <v>19</v>
      </c>
      <c r="H806">
        <v>100627</v>
      </c>
      <c r="I806">
        <v>23592.92</v>
      </c>
      <c r="J806" t="s">
        <v>212</v>
      </c>
      <c r="K806" t="s">
        <v>48</v>
      </c>
      <c r="L806">
        <v>2021</v>
      </c>
      <c r="M806" t="s">
        <v>317</v>
      </c>
    </row>
    <row r="807" spans="1:13" x14ac:dyDescent="0.35">
      <c r="A807" t="s">
        <v>2055</v>
      </c>
      <c r="B807" t="s">
        <v>2056</v>
      </c>
      <c r="C807" t="s">
        <v>25</v>
      </c>
      <c r="D807" t="s">
        <v>149</v>
      </c>
      <c r="E807" t="s">
        <v>34</v>
      </c>
      <c r="F807" t="s">
        <v>58</v>
      </c>
      <c r="G807" t="s">
        <v>36</v>
      </c>
      <c r="H807">
        <v>152702</v>
      </c>
      <c r="I807">
        <v>22641.05</v>
      </c>
      <c r="J807" t="s">
        <v>20</v>
      </c>
      <c r="K807" t="s">
        <v>53</v>
      </c>
      <c r="L807">
        <v>2024</v>
      </c>
      <c r="M807" t="s">
        <v>2057</v>
      </c>
    </row>
    <row r="808" spans="1:13" x14ac:dyDescent="0.35">
      <c r="A808" t="s">
        <v>2058</v>
      </c>
      <c r="B808" t="s">
        <v>1334</v>
      </c>
      <c r="C808" t="s">
        <v>15</v>
      </c>
      <c r="D808" t="s">
        <v>46</v>
      </c>
      <c r="E808" t="s">
        <v>17</v>
      </c>
      <c r="F808" t="s">
        <v>42</v>
      </c>
      <c r="G808" t="s">
        <v>19</v>
      </c>
      <c r="H808">
        <v>23853</v>
      </c>
      <c r="I808">
        <v>-19850.330000000002</v>
      </c>
      <c r="J808" t="s">
        <v>212</v>
      </c>
      <c r="K808" t="s">
        <v>53</v>
      </c>
      <c r="L808">
        <v>2021</v>
      </c>
      <c r="M808" t="s">
        <v>1387</v>
      </c>
    </row>
    <row r="809" spans="1:13" x14ac:dyDescent="0.35">
      <c r="A809" t="s">
        <v>2059</v>
      </c>
      <c r="B809" t="s">
        <v>992</v>
      </c>
      <c r="C809" t="s">
        <v>40</v>
      </c>
      <c r="D809" t="s">
        <v>41</v>
      </c>
      <c r="E809" t="s">
        <v>34</v>
      </c>
      <c r="F809" t="s">
        <v>67</v>
      </c>
      <c r="G809" t="s">
        <v>68</v>
      </c>
      <c r="H809">
        <v>44605</v>
      </c>
      <c r="I809">
        <v>7818.25</v>
      </c>
      <c r="J809" t="s">
        <v>29</v>
      </c>
      <c r="K809" t="s">
        <v>48</v>
      </c>
      <c r="L809">
        <v>2025</v>
      </c>
      <c r="M809" t="s">
        <v>143</v>
      </c>
    </row>
    <row r="810" spans="1:13" x14ac:dyDescent="0.35">
      <c r="A810" t="s">
        <v>2060</v>
      </c>
      <c r="B810" t="s">
        <v>2061</v>
      </c>
      <c r="C810" t="s">
        <v>15</v>
      </c>
      <c r="D810" t="s">
        <v>16</v>
      </c>
      <c r="E810" t="s">
        <v>34</v>
      </c>
      <c r="F810" t="s">
        <v>35</v>
      </c>
      <c r="G810" t="s">
        <v>68</v>
      </c>
      <c r="H810">
        <v>133690</v>
      </c>
      <c r="I810">
        <v>17052.400000000001</v>
      </c>
      <c r="J810" t="s">
        <v>212</v>
      </c>
      <c r="K810" t="s">
        <v>21</v>
      </c>
      <c r="L810">
        <v>2025</v>
      </c>
      <c r="M810" t="s">
        <v>2062</v>
      </c>
    </row>
    <row r="811" spans="1:13" x14ac:dyDescent="0.35">
      <c r="A811" t="s">
        <v>2063</v>
      </c>
      <c r="B811" t="s">
        <v>2064</v>
      </c>
      <c r="C811" t="s">
        <v>15</v>
      </c>
      <c r="D811" t="s">
        <v>46</v>
      </c>
      <c r="E811" t="s">
        <v>34</v>
      </c>
      <c r="F811" t="s">
        <v>58</v>
      </c>
      <c r="G811" t="s">
        <v>36</v>
      </c>
      <c r="H811">
        <v>54177</v>
      </c>
      <c r="I811">
        <v>7099.27</v>
      </c>
      <c r="J811" t="s">
        <v>97</v>
      </c>
      <c r="K811" t="s">
        <v>48</v>
      </c>
      <c r="L811">
        <v>2023</v>
      </c>
      <c r="M811" t="s">
        <v>1160</v>
      </c>
    </row>
    <row r="812" spans="1:13" x14ac:dyDescent="0.35">
      <c r="A812" t="s">
        <v>2065</v>
      </c>
      <c r="B812" t="s">
        <v>2066</v>
      </c>
      <c r="C812" t="s">
        <v>25</v>
      </c>
      <c r="D812" t="s">
        <v>149</v>
      </c>
      <c r="E812" t="s">
        <v>17</v>
      </c>
      <c r="F812" t="s">
        <v>52</v>
      </c>
      <c r="G812" t="s">
        <v>36</v>
      </c>
      <c r="H812">
        <v>123228</v>
      </c>
      <c r="I812">
        <v>-115922.7</v>
      </c>
      <c r="J812" t="s">
        <v>212</v>
      </c>
      <c r="K812" t="s">
        <v>48</v>
      </c>
      <c r="L812">
        <v>2024</v>
      </c>
      <c r="M812" t="s">
        <v>2067</v>
      </c>
    </row>
    <row r="813" spans="1:13" x14ac:dyDescent="0.35">
      <c r="A813" t="s">
        <v>2068</v>
      </c>
      <c r="B813" t="s">
        <v>1386</v>
      </c>
      <c r="C813" t="s">
        <v>15</v>
      </c>
      <c r="D813" t="s">
        <v>16</v>
      </c>
      <c r="E813" t="s">
        <v>17</v>
      </c>
      <c r="F813" t="s">
        <v>112</v>
      </c>
      <c r="G813" t="s">
        <v>19</v>
      </c>
      <c r="H813">
        <v>141540</v>
      </c>
      <c r="I813">
        <v>-104076.18</v>
      </c>
      <c r="J813" t="s">
        <v>47</v>
      </c>
      <c r="K813" t="s">
        <v>21</v>
      </c>
      <c r="L813">
        <v>2024</v>
      </c>
      <c r="M813" t="s">
        <v>2069</v>
      </c>
    </row>
    <row r="814" spans="1:13" x14ac:dyDescent="0.35">
      <c r="A814" t="s">
        <v>2070</v>
      </c>
      <c r="B814" t="s">
        <v>1824</v>
      </c>
      <c r="C814" t="s">
        <v>25</v>
      </c>
      <c r="D814" t="s">
        <v>83</v>
      </c>
      <c r="E814" t="s">
        <v>34</v>
      </c>
      <c r="F814" t="s">
        <v>67</v>
      </c>
      <c r="G814" t="s">
        <v>68</v>
      </c>
      <c r="H814">
        <v>247469</v>
      </c>
      <c r="I814">
        <v>38308.550000000003</v>
      </c>
      <c r="J814" t="s">
        <v>20</v>
      </c>
      <c r="K814" t="s">
        <v>21</v>
      </c>
      <c r="L814">
        <v>2022</v>
      </c>
      <c r="M814" t="s">
        <v>311</v>
      </c>
    </row>
    <row r="815" spans="1:13" x14ac:dyDescent="0.35">
      <c r="A815" t="s">
        <v>2071</v>
      </c>
      <c r="B815" t="s">
        <v>1154</v>
      </c>
      <c r="C815" t="s">
        <v>40</v>
      </c>
      <c r="D815" t="s">
        <v>41</v>
      </c>
      <c r="E815" t="s">
        <v>34</v>
      </c>
      <c r="F815" t="s">
        <v>35</v>
      </c>
      <c r="G815" t="s">
        <v>78</v>
      </c>
      <c r="H815">
        <v>179766</v>
      </c>
      <c r="I815">
        <v>30451.59</v>
      </c>
      <c r="J815" t="s">
        <v>47</v>
      </c>
      <c r="K815" t="s">
        <v>48</v>
      </c>
      <c r="L815">
        <v>2024</v>
      </c>
      <c r="M815" t="s">
        <v>665</v>
      </c>
    </row>
    <row r="816" spans="1:13" x14ac:dyDescent="0.35">
      <c r="A816" t="s">
        <v>2072</v>
      </c>
      <c r="B816" t="s">
        <v>2073</v>
      </c>
      <c r="C816" t="s">
        <v>15</v>
      </c>
      <c r="D816" t="s">
        <v>46</v>
      </c>
      <c r="E816" t="s">
        <v>138</v>
      </c>
      <c r="F816" t="s">
        <v>208</v>
      </c>
      <c r="G816" t="s">
        <v>19</v>
      </c>
      <c r="H816">
        <v>275873</v>
      </c>
      <c r="I816">
        <v>-10380.19</v>
      </c>
      <c r="J816" t="s">
        <v>29</v>
      </c>
      <c r="K816" t="s">
        <v>48</v>
      </c>
      <c r="L816">
        <v>2023</v>
      </c>
      <c r="M816" t="s">
        <v>2074</v>
      </c>
    </row>
    <row r="817" spans="1:13" x14ac:dyDescent="0.35">
      <c r="A817" t="s">
        <v>2075</v>
      </c>
      <c r="B817" t="s">
        <v>930</v>
      </c>
      <c r="C817" t="s">
        <v>15</v>
      </c>
      <c r="D817" t="s">
        <v>46</v>
      </c>
      <c r="E817" t="s">
        <v>34</v>
      </c>
      <c r="F817" t="s">
        <v>101</v>
      </c>
      <c r="G817" t="s">
        <v>19</v>
      </c>
      <c r="H817">
        <v>74423</v>
      </c>
      <c r="I817">
        <v>18093.740000000002</v>
      </c>
      <c r="J817" t="s">
        <v>20</v>
      </c>
      <c r="K817" t="s">
        <v>30</v>
      </c>
      <c r="L817">
        <v>2021</v>
      </c>
      <c r="M817" t="s">
        <v>2076</v>
      </c>
    </row>
    <row r="818" spans="1:13" x14ac:dyDescent="0.35">
      <c r="A818" t="s">
        <v>2077</v>
      </c>
      <c r="B818" t="s">
        <v>242</v>
      </c>
      <c r="C818" t="s">
        <v>15</v>
      </c>
      <c r="D818" t="s">
        <v>46</v>
      </c>
      <c r="E818" t="s">
        <v>34</v>
      </c>
      <c r="F818" t="s">
        <v>101</v>
      </c>
      <c r="G818" t="s">
        <v>19</v>
      </c>
      <c r="H818">
        <v>126693</v>
      </c>
      <c r="I818">
        <v>26297.84</v>
      </c>
      <c r="J818" t="s">
        <v>59</v>
      </c>
      <c r="K818" t="s">
        <v>21</v>
      </c>
      <c r="L818">
        <v>2025</v>
      </c>
      <c r="M818" t="s">
        <v>1962</v>
      </c>
    </row>
    <row r="819" spans="1:13" x14ac:dyDescent="0.35">
      <c r="A819" t="s">
        <v>2078</v>
      </c>
      <c r="B819" t="s">
        <v>2079</v>
      </c>
      <c r="C819" t="s">
        <v>40</v>
      </c>
      <c r="D819" t="s">
        <v>41</v>
      </c>
      <c r="E819" t="s">
        <v>34</v>
      </c>
      <c r="F819" t="s">
        <v>35</v>
      </c>
      <c r="G819" t="s">
        <v>78</v>
      </c>
      <c r="H819">
        <v>108507</v>
      </c>
      <c r="I819">
        <v>15539.02</v>
      </c>
      <c r="J819" t="s">
        <v>212</v>
      </c>
      <c r="K819" t="s">
        <v>21</v>
      </c>
      <c r="L819">
        <v>2023</v>
      </c>
      <c r="M819" t="s">
        <v>1414</v>
      </c>
    </row>
    <row r="820" spans="1:13" x14ac:dyDescent="0.35">
      <c r="A820" t="s">
        <v>2080</v>
      </c>
      <c r="B820" t="s">
        <v>2081</v>
      </c>
      <c r="C820" t="s">
        <v>15</v>
      </c>
      <c r="D820" t="s">
        <v>16</v>
      </c>
      <c r="E820" t="s">
        <v>17</v>
      </c>
      <c r="F820" t="s">
        <v>42</v>
      </c>
      <c r="G820" t="s">
        <v>68</v>
      </c>
      <c r="H820">
        <v>98499</v>
      </c>
      <c r="I820">
        <v>-73444.92</v>
      </c>
      <c r="J820" t="s">
        <v>113</v>
      </c>
      <c r="K820" t="s">
        <v>48</v>
      </c>
      <c r="L820">
        <v>2025</v>
      </c>
      <c r="M820" t="s">
        <v>2082</v>
      </c>
    </row>
    <row r="821" spans="1:13" x14ac:dyDescent="0.35">
      <c r="A821" t="s">
        <v>2083</v>
      </c>
      <c r="B821" t="s">
        <v>2084</v>
      </c>
      <c r="C821" t="s">
        <v>25</v>
      </c>
      <c r="D821" t="s">
        <v>83</v>
      </c>
      <c r="E821" t="s">
        <v>17</v>
      </c>
      <c r="F821" t="s">
        <v>42</v>
      </c>
      <c r="G821" t="s">
        <v>36</v>
      </c>
      <c r="H821">
        <v>113943</v>
      </c>
      <c r="I821">
        <v>-106178.02</v>
      </c>
      <c r="J821" t="s">
        <v>20</v>
      </c>
      <c r="K821" t="s">
        <v>48</v>
      </c>
      <c r="L821">
        <v>2022</v>
      </c>
      <c r="M821" t="s">
        <v>2085</v>
      </c>
    </row>
    <row r="822" spans="1:13" x14ac:dyDescent="0.35">
      <c r="A822" t="s">
        <v>2086</v>
      </c>
      <c r="B822" t="s">
        <v>2087</v>
      </c>
      <c r="C822" t="s">
        <v>25</v>
      </c>
      <c r="D822" t="s">
        <v>83</v>
      </c>
      <c r="E822" t="s">
        <v>34</v>
      </c>
      <c r="F822" t="s">
        <v>58</v>
      </c>
      <c r="G822" t="s">
        <v>36</v>
      </c>
      <c r="H822">
        <v>61542</v>
      </c>
      <c r="I822">
        <v>14227.64</v>
      </c>
      <c r="J822" t="s">
        <v>29</v>
      </c>
      <c r="K822" t="s">
        <v>21</v>
      </c>
      <c r="L822">
        <v>2024</v>
      </c>
      <c r="M822" t="s">
        <v>2088</v>
      </c>
    </row>
    <row r="823" spans="1:13" x14ac:dyDescent="0.35">
      <c r="A823" t="s">
        <v>2089</v>
      </c>
      <c r="B823" t="s">
        <v>2090</v>
      </c>
      <c r="C823" t="s">
        <v>25</v>
      </c>
      <c r="D823" t="s">
        <v>83</v>
      </c>
      <c r="E823" t="s">
        <v>27</v>
      </c>
      <c r="F823" t="s">
        <v>204</v>
      </c>
      <c r="G823" t="s">
        <v>68</v>
      </c>
      <c r="H823">
        <v>509784</v>
      </c>
      <c r="I823">
        <v>48719.1</v>
      </c>
      <c r="J823" t="s">
        <v>113</v>
      </c>
      <c r="K823" t="s">
        <v>53</v>
      </c>
      <c r="L823">
        <v>2023</v>
      </c>
      <c r="M823" t="s">
        <v>80</v>
      </c>
    </row>
    <row r="824" spans="1:13" x14ac:dyDescent="0.35">
      <c r="A824" t="s">
        <v>2091</v>
      </c>
      <c r="B824" t="s">
        <v>827</v>
      </c>
      <c r="C824" t="s">
        <v>40</v>
      </c>
      <c r="D824" t="s">
        <v>66</v>
      </c>
      <c r="E824" t="s">
        <v>34</v>
      </c>
      <c r="F824" t="s">
        <v>58</v>
      </c>
      <c r="G824" t="s">
        <v>36</v>
      </c>
      <c r="H824">
        <v>171693</v>
      </c>
      <c r="I824">
        <v>40465.26</v>
      </c>
      <c r="J824" t="s">
        <v>79</v>
      </c>
      <c r="K824" t="s">
        <v>21</v>
      </c>
      <c r="L824">
        <v>2022</v>
      </c>
      <c r="M824" t="s">
        <v>2092</v>
      </c>
    </row>
    <row r="825" spans="1:13" x14ac:dyDescent="0.35">
      <c r="A825" t="s">
        <v>2093</v>
      </c>
      <c r="B825" t="s">
        <v>2094</v>
      </c>
      <c r="C825" t="s">
        <v>25</v>
      </c>
      <c r="D825" t="s">
        <v>26</v>
      </c>
      <c r="E825" t="s">
        <v>34</v>
      </c>
      <c r="F825" t="s">
        <v>58</v>
      </c>
      <c r="G825" t="s">
        <v>19</v>
      </c>
      <c r="H825">
        <v>240283</v>
      </c>
      <c r="I825">
        <v>45570.83</v>
      </c>
      <c r="J825" t="s">
        <v>113</v>
      </c>
      <c r="K825" t="s">
        <v>53</v>
      </c>
      <c r="L825">
        <v>2021</v>
      </c>
      <c r="M825" t="s">
        <v>2095</v>
      </c>
    </row>
    <row r="826" spans="1:13" x14ac:dyDescent="0.35">
      <c r="A826" t="s">
        <v>2096</v>
      </c>
      <c r="B826" t="s">
        <v>1916</v>
      </c>
      <c r="C826" t="s">
        <v>76</v>
      </c>
      <c r="D826" t="s">
        <v>105</v>
      </c>
      <c r="E826" t="s">
        <v>17</v>
      </c>
      <c r="F826" t="s">
        <v>18</v>
      </c>
      <c r="G826" t="s">
        <v>19</v>
      </c>
      <c r="H826">
        <v>51659</v>
      </c>
      <c r="I826">
        <v>-38837.65</v>
      </c>
      <c r="J826" t="s">
        <v>212</v>
      </c>
      <c r="K826" t="s">
        <v>53</v>
      </c>
      <c r="L826">
        <v>2021</v>
      </c>
      <c r="M826" t="s">
        <v>528</v>
      </c>
    </row>
    <row r="827" spans="1:13" x14ac:dyDescent="0.35">
      <c r="A827" t="s">
        <v>2097</v>
      </c>
      <c r="B827" t="s">
        <v>2098</v>
      </c>
      <c r="C827" t="s">
        <v>76</v>
      </c>
      <c r="D827" t="s">
        <v>171</v>
      </c>
      <c r="E827" t="s">
        <v>34</v>
      </c>
      <c r="F827" t="s">
        <v>101</v>
      </c>
      <c r="G827" t="s">
        <v>19</v>
      </c>
      <c r="H827">
        <v>43206</v>
      </c>
      <c r="I827">
        <v>7249.13</v>
      </c>
      <c r="J827" t="s">
        <v>212</v>
      </c>
      <c r="K827" t="s">
        <v>48</v>
      </c>
      <c r="L827">
        <v>2022</v>
      </c>
      <c r="M827" t="s">
        <v>1651</v>
      </c>
    </row>
    <row r="828" spans="1:13" x14ac:dyDescent="0.35">
      <c r="A828" t="s">
        <v>2099</v>
      </c>
      <c r="B828" t="s">
        <v>2100</v>
      </c>
      <c r="C828" t="s">
        <v>40</v>
      </c>
      <c r="D828" t="s">
        <v>41</v>
      </c>
      <c r="E828" t="s">
        <v>17</v>
      </c>
      <c r="F828" t="s">
        <v>52</v>
      </c>
      <c r="G828" t="s">
        <v>36</v>
      </c>
      <c r="H828">
        <v>66562</v>
      </c>
      <c r="I828">
        <v>-63075.46</v>
      </c>
      <c r="J828" t="s">
        <v>59</v>
      </c>
      <c r="K828" t="s">
        <v>48</v>
      </c>
      <c r="L828">
        <v>2025</v>
      </c>
      <c r="M828" t="s">
        <v>889</v>
      </c>
    </row>
    <row r="829" spans="1:13" x14ac:dyDescent="0.35">
      <c r="A829" t="s">
        <v>2101</v>
      </c>
      <c r="B829" t="s">
        <v>2102</v>
      </c>
      <c r="C829" t="s">
        <v>76</v>
      </c>
      <c r="D829" t="s">
        <v>105</v>
      </c>
      <c r="E829" t="s">
        <v>17</v>
      </c>
      <c r="F829" t="s">
        <v>42</v>
      </c>
      <c r="G829" t="s">
        <v>68</v>
      </c>
      <c r="H829">
        <v>30454</v>
      </c>
      <c r="I829">
        <v>-27929.49</v>
      </c>
      <c r="J829" t="s">
        <v>47</v>
      </c>
      <c r="K829" t="s">
        <v>30</v>
      </c>
      <c r="L829">
        <v>2025</v>
      </c>
      <c r="M829" t="s">
        <v>2103</v>
      </c>
    </row>
    <row r="830" spans="1:13" x14ac:dyDescent="0.35">
      <c r="A830" t="s">
        <v>2104</v>
      </c>
      <c r="B830" t="s">
        <v>2105</v>
      </c>
      <c r="C830" t="s">
        <v>40</v>
      </c>
      <c r="D830" t="s">
        <v>96</v>
      </c>
      <c r="E830" t="s">
        <v>17</v>
      </c>
      <c r="F830" t="s">
        <v>72</v>
      </c>
      <c r="G830" t="s">
        <v>19</v>
      </c>
      <c r="H830">
        <v>199165</v>
      </c>
      <c r="I830">
        <v>-151361.13</v>
      </c>
      <c r="J830" t="s">
        <v>79</v>
      </c>
      <c r="K830" t="s">
        <v>30</v>
      </c>
      <c r="L830">
        <v>2023</v>
      </c>
      <c r="M830" t="s">
        <v>2106</v>
      </c>
    </row>
    <row r="831" spans="1:13" x14ac:dyDescent="0.35">
      <c r="A831" t="s">
        <v>2107</v>
      </c>
      <c r="B831" t="s">
        <v>2108</v>
      </c>
      <c r="C831" t="s">
        <v>40</v>
      </c>
      <c r="D831" t="s">
        <v>96</v>
      </c>
      <c r="E831" t="s">
        <v>17</v>
      </c>
      <c r="F831" t="s">
        <v>72</v>
      </c>
      <c r="G831" t="s">
        <v>36</v>
      </c>
      <c r="H831">
        <v>62790</v>
      </c>
      <c r="I831">
        <v>-53348.89</v>
      </c>
      <c r="J831" t="s">
        <v>29</v>
      </c>
      <c r="K831" t="s">
        <v>53</v>
      </c>
      <c r="L831">
        <v>2023</v>
      </c>
      <c r="M831" t="s">
        <v>2109</v>
      </c>
    </row>
    <row r="832" spans="1:13" x14ac:dyDescent="0.35">
      <c r="A832" t="s">
        <v>2110</v>
      </c>
      <c r="B832" t="s">
        <v>2111</v>
      </c>
      <c r="C832" t="s">
        <v>40</v>
      </c>
      <c r="D832" t="s">
        <v>41</v>
      </c>
      <c r="E832" t="s">
        <v>34</v>
      </c>
      <c r="F832" t="s">
        <v>35</v>
      </c>
      <c r="G832" t="s">
        <v>68</v>
      </c>
      <c r="H832">
        <v>113522</v>
      </c>
      <c r="I832">
        <v>8644.59</v>
      </c>
      <c r="J832" t="s">
        <v>47</v>
      </c>
      <c r="K832" t="s">
        <v>53</v>
      </c>
      <c r="L832">
        <v>2023</v>
      </c>
      <c r="M832" t="s">
        <v>2112</v>
      </c>
    </row>
    <row r="833" spans="1:13" x14ac:dyDescent="0.35">
      <c r="A833" t="s">
        <v>2113</v>
      </c>
      <c r="B833" t="s">
        <v>2114</v>
      </c>
      <c r="C833" t="s">
        <v>15</v>
      </c>
      <c r="D833" t="s">
        <v>57</v>
      </c>
      <c r="E833" t="s">
        <v>17</v>
      </c>
      <c r="F833" t="s">
        <v>72</v>
      </c>
      <c r="G833" t="s">
        <v>36</v>
      </c>
      <c r="H833">
        <v>181956</v>
      </c>
      <c r="I833">
        <v>-135125.20000000001</v>
      </c>
      <c r="J833" t="s">
        <v>97</v>
      </c>
      <c r="K833" t="s">
        <v>21</v>
      </c>
      <c r="L833">
        <v>2025</v>
      </c>
      <c r="M833" t="s">
        <v>1191</v>
      </c>
    </row>
    <row r="834" spans="1:13" x14ac:dyDescent="0.35">
      <c r="A834" t="s">
        <v>2115</v>
      </c>
      <c r="B834" t="s">
        <v>2116</v>
      </c>
      <c r="C834" t="s">
        <v>25</v>
      </c>
      <c r="D834" t="s">
        <v>83</v>
      </c>
      <c r="E834" t="s">
        <v>34</v>
      </c>
      <c r="F834" t="s">
        <v>35</v>
      </c>
      <c r="G834" t="s">
        <v>36</v>
      </c>
      <c r="H834">
        <v>268043</v>
      </c>
      <c r="I834">
        <v>21317.599999999999</v>
      </c>
      <c r="J834" t="s">
        <v>113</v>
      </c>
      <c r="K834" t="s">
        <v>53</v>
      </c>
      <c r="L834">
        <v>2025</v>
      </c>
      <c r="M834" t="s">
        <v>2117</v>
      </c>
    </row>
    <row r="835" spans="1:13" x14ac:dyDescent="0.35">
      <c r="A835" t="s">
        <v>2118</v>
      </c>
      <c r="B835" t="s">
        <v>1779</v>
      </c>
      <c r="C835" t="s">
        <v>40</v>
      </c>
      <c r="D835" t="s">
        <v>41</v>
      </c>
      <c r="E835" t="s">
        <v>17</v>
      </c>
      <c r="F835" t="s">
        <v>72</v>
      </c>
      <c r="G835" t="s">
        <v>19</v>
      </c>
      <c r="H835">
        <v>180656</v>
      </c>
      <c r="I835">
        <v>-153180.79</v>
      </c>
      <c r="J835" t="s">
        <v>97</v>
      </c>
      <c r="K835" t="s">
        <v>30</v>
      </c>
      <c r="L835">
        <v>2022</v>
      </c>
      <c r="M835" t="s">
        <v>761</v>
      </c>
    </row>
    <row r="836" spans="1:13" x14ac:dyDescent="0.35">
      <c r="A836" t="s">
        <v>2119</v>
      </c>
      <c r="B836" t="s">
        <v>2120</v>
      </c>
      <c r="C836" t="s">
        <v>76</v>
      </c>
      <c r="D836" t="s">
        <v>105</v>
      </c>
      <c r="E836" t="s">
        <v>27</v>
      </c>
      <c r="F836" t="s">
        <v>379</v>
      </c>
      <c r="G836" t="s">
        <v>68</v>
      </c>
      <c r="H836">
        <v>549362</v>
      </c>
      <c r="I836">
        <v>58718.68</v>
      </c>
      <c r="J836" t="s">
        <v>97</v>
      </c>
      <c r="K836" t="s">
        <v>21</v>
      </c>
      <c r="L836">
        <v>2021</v>
      </c>
      <c r="M836" t="s">
        <v>1450</v>
      </c>
    </row>
    <row r="837" spans="1:13" x14ac:dyDescent="0.35">
      <c r="A837" t="s">
        <v>2121</v>
      </c>
      <c r="B837" t="s">
        <v>949</v>
      </c>
      <c r="C837" t="s">
        <v>15</v>
      </c>
      <c r="D837" t="s">
        <v>46</v>
      </c>
      <c r="E837" t="s">
        <v>34</v>
      </c>
      <c r="F837" t="s">
        <v>35</v>
      </c>
      <c r="G837" t="s">
        <v>36</v>
      </c>
      <c r="H837">
        <v>266807</v>
      </c>
      <c r="I837">
        <v>61571.65</v>
      </c>
      <c r="J837" t="s">
        <v>29</v>
      </c>
      <c r="K837" t="s">
        <v>53</v>
      </c>
      <c r="L837">
        <v>2023</v>
      </c>
      <c r="M837" t="s">
        <v>897</v>
      </c>
    </row>
    <row r="838" spans="1:13" x14ac:dyDescent="0.35">
      <c r="A838" t="s">
        <v>2122</v>
      </c>
      <c r="B838" t="s">
        <v>2123</v>
      </c>
      <c r="C838" t="s">
        <v>76</v>
      </c>
      <c r="D838" t="s">
        <v>77</v>
      </c>
      <c r="E838" t="s">
        <v>34</v>
      </c>
      <c r="F838" t="s">
        <v>35</v>
      </c>
      <c r="G838" t="s">
        <v>36</v>
      </c>
      <c r="H838">
        <v>261699</v>
      </c>
      <c r="I838">
        <v>18020.86</v>
      </c>
      <c r="J838" t="s">
        <v>212</v>
      </c>
      <c r="K838" t="s">
        <v>48</v>
      </c>
      <c r="L838">
        <v>2024</v>
      </c>
      <c r="M838" t="s">
        <v>1390</v>
      </c>
    </row>
    <row r="839" spans="1:13" x14ac:dyDescent="0.35">
      <c r="A839" t="s">
        <v>2124</v>
      </c>
      <c r="B839" t="s">
        <v>959</v>
      </c>
      <c r="C839" t="s">
        <v>25</v>
      </c>
      <c r="D839" t="s">
        <v>83</v>
      </c>
      <c r="E839" t="s">
        <v>34</v>
      </c>
      <c r="F839" t="s">
        <v>35</v>
      </c>
      <c r="G839" t="s">
        <v>36</v>
      </c>
      <c r="H839">
        <v>258275</v>
      </c>
      <c r="I839">
        <v>19609.68</v>
      </c>
      <c r="J839" t="s">
        <v>47</v>
      </c>
      <c r="K839" t="s">
        <v>48</v>
      </c>
      <c r="L839">
        <v>2021</v>
      </c>
      <c r="M839" t="s">
        <v>852</v>
      </c>
    </row>
    <row r="840" spans="1:13" x14ac:dyDescent="0.35">
      <c r="A840" t="s">
        <v>2125</v>
      </c>
      <c r="B840" t="s">
        <v>2126</v>
      </c>
      <c r="C840" t="s">
        <v>40</v>
      </c>
      <c r="D840" t="s">
        <v>96</v>
      </c>
      <c r="E840" t="s">
        <v>34</v>
      </c>
      <c r="F840" t="s">
        <v>101</v>
      </c>
      <c r="G840" t="s">
        <v>19</v>
      </c>
      <c r="H840">
        <v>52530</v>
      </c>
      <c r="I840">
        <v>9561.33</v>
      </c>
      <c r="J840" t="s">
        <v>212</v>
      </c>
      <c r="K840" t="s">
        <v>48</v>
      </c>
      <c r="L840">
        <v>2023</v>
      </c>
      <c r="M840" t="s">
        <v>213</v>
      </c>
    </row>
    <row r="841" spans="1:13" x14ac:dyDescent="0.35">
      <c r="A841" t="s">
        <v>2127</v>
      </c>
      <c r="B841" t="s">
        <v>909</v>
      </c>
      <c r="C841" t="s">
        <v>15</v>
      </c>
      <c r="D841" t="s">
        <v>16</v>
      </c>
      <c r="E841" t="s">
        <v>17</v>
      </c>
      <c r="F841" t="s">
        <v>112</v>
      </c>
      <c r="G841" t="s">
        <v>19</v>
      </c>
      <c r="H841">
        <v>101453</v>
      </c>
      <c r="I841">
        <v>-80249.06</v>
      </c>
      <c r="J841" t="s">
        <v>20</v>
      </c>
      <c r="K841" t="s">
        <v>30</v>
      </c>
      <c r="L841">
        <v>2023</v>
      </c>
      <c r="M841" t="s">
        <v>2128</v>
      </c>
    </row>
    <row r="842" spans="1:13" x14ac:dyDescent="0.35">
      <c r="A842" t="s">
        <v>2129</v>
      </c>
      <c r="B842" t="s">
        <v>2130</v>
      </c>
      <c r="C842" t="s">
        <v>15</v>
      </c>
      <c r="D842" t="s">
        <v>46</v>
      </c>
      <c r="E842" t="s">
        <v>34</v>
      </c>
      <c r="F842" t="s">
        <v>35</v>
      </c>
      <c r="G842" t="s">
        <v>68</v>
      </c>
      <c r="H842">
        <v>293529</v>
      </c>
      <c r="I842">
        <v>19612.150000000001</v>
      </c>
      <c r="J842" t="s">
        <v>29</v>
      </c>
      <c r="K842" t="s">
        <v>48</v>
      </c>
      <c r="L842">
        <v>2023</v>
      </c>
      <c r="M842" t="s">
        <v>2131</v>
      </c>
    </row>
    <row r="843" spans="1:13" x14ac:dyDescent="0.35">
      <c r="A843" t="s">
        <v>2132</v>
      </c>
      <c r="B843" t="s">
        <v>2133</v>
      </c>
      <c r="C843" t="s">
        <v>40</v>
      </c>
      <c r="D843" t="s">
        <v>96</v>
      </c>
      <c r="E843" t="s">
        <v>34</v>
      </c>
      <c r="F843" t="s">
        <v>35</v>
      </c>
      <c r="G843" t="s">
        <v>19</v>
      </c>
      <c r="H843">
        <v>257664</v>
      </c>
      <c r="I843">
        <v>56467.67</v>
      </c>
      <c r="J843" t="s">
        <v>212</v>
      </c>
      <c r="K843" t="s">
        <v>30</v>
      </c>
      <c r="L843">
        <v>2022</v>
      </c>
      <c r="M843" t="s">
        <v>2134</v>
      </c>
    </row>
    <row r="844" spans="1:13" x14ac:dyDescent="0.35">
      <c r="A844" t="s">
        <v>2135</v>
      </c>
      <c r="B844" t="s">
        <v>2136</v>
      </c>
      <c r="C844" t="s">
        <v>15</v>
      </c>
      <c r="D844" t="s">
        <v>57</v>
      </c>
      <c r="E844" t="s">
        <v>17</v>
      </c>
      <c r="F844" t="s">
        <v>18</v>
      </c>
      <c r="G844" t="s">
        <v>78</v>
      </c>
      <c r="H844">
        <v>124498</v>
      </c>
      <c r="I844">
        <v>-104365.63</v>
      </c>
      <c r="J844" t="s">
        <v>113</v>
      </c>
      <c r="K844" t="s">
        <v>53</v>
      </c>
      <c r="L844">
        <v>2024</v>
      </c>
      <c r="M844" t="s">
        <v>1739</v>
      </c>
    </row>
    <row r="845" spans="1:13" x14ac:dyDescent="0.35">
      <c r="A845" t="s">
        <v>2137</v>
      </c>
      <c r="B845" t="s">
        <v>723</v>
      </c>
      <c r="C845" t="s">
        <v>76</v>
      </c>
      <c r="D845" t="s">
        <v>171</v>
      </c>
      <c r="E845" t="s">
        <v>27</v>
      </c>
      <c r="F845" t="s">
        <v>379</v>
      </c>
      <c r="G845" t="s">
        <v>19</v>
      </c>
      <c r="H845">
        <v>512469</v>
      </c>
      <c r="I845">
        <v>74788.66</v>
      </c>
      <c r="J845" t="s">
        <v>47</v>
      </c>
      <c r="K845" t="s">
        <v>48</v>
      </c>
      <c r="L845">
        <v>2025</v>
      </c>
      <c r="M845" t="s">
        <v>665</v>
      </c>
    </row>
    <row r="846" spans="1:13" x14ac:dyDescent="0.35">
      <c r="A846" t="s">
        <v>2138</v>
      </c>
      <c r="B846" t="s">
        <v>218</v>
      </c>
      <c r="C846" t="s">
        <v>76</v>
      </c>
      <c r="D846" t="s">
        <v>105</v>
      </c>
      <c r="E846" t="s">
        <v>34</v>
      </c>
      <c r="F846" t="s">
        <v>35</v>
      </c>
      <c r="G846" t="s">
        <v>19</v>
      </c>
      <c r="H846">
        <v>213789</v>
      </c>
      <c r="I846">
        <v>50983.199999999997</v>
      </c>
      <c r="J846" t="s">
        <v>79</v>
      </c>
      <c r="K846" t="s">
        <v>53</v>
      </c>
      <c r="L846">
        <v>2024</v>
      </c>
      <c r="M846" t="s">
        <v>2139</v>
      </c>
    </row>
    <row r="847" spans="1:13" x14ac:dyDescent="0.35">
      <c r="A847" t="s">
        <v>2140</v>
      </c>
      <c r="B847" t="s">
        <v>2141</v>
      </c>
      <c r="C847" t="s">
        <v>15</v>
      </c>
      <c r="D847" t="s">
        <v>46</v>
      </c>
      <c r="E847" t="s">
        <v>34</v>
      </c>
      <c r="F847" t="s">
        <v>58</v>
      </c>
      <c r="G847" t="s">
        <v>78</v>
      </c>
      <c r="H847">
        <v>186183</v>
      </c>
      <c r="I847">
        <v>31626.55</v>
      </c>
      <c r="J847" t="s">
        <v>97</v>
      </c>
      <c r="K847" t="s">
        <v>30</v>
      </c>
      <c r="L847">
        <v>2022</v>
      </c>
      <c r="M847" t="s">
        <v>2142</v>
      </c>
    </row>
    <row r="848" spans="1:13" x14ac:dyDescent="0.35">
      <c r="A848" t="s">
        <v>2143</v>
      </c>
      <c r="B848" t="s">
        <v>2144</v>
      </c>
      <c r="C848" t="s">
        <v>40</v>
      </c>
      <c r="D848" t="s">
        <v>66</v>
      </c>
      <c r="E848" t="s">
        <v>34</v>
      </c>
      <c r="F848" t="s">
        <v>67</v>
      </c>
      <c r="G848" t="s">
        <v>68</v>
      </c>
      <c r="H848">
        <v>277941</v>
      </c>
      <c r="I848">
        <v>44332.81</v>
      </c>
      <c r="J848" t="s">
        <v>20</v>
      </c>
      <c r="K848" t="s">
        <v>48</v>
      </c>
      <c r="L848">
        <v>2023</v>
      </c>
      <c r="M848" t="s">
        <v>63</v>
      </c>
    </row>
    <row r="849" spans="1:13" x14ac:dyDescent="0.35">
      <c r="A849" t="s">
        <v>2145</v>
      </c>
      <c r="B849" t="s">
        <v>1473</v>
      </c>
      <c r="C849" t="s">
        <v>25</v>
      </c>
      <c r="D849" t="s">
        <v>83</v>
      </c>
      <c r="E849" t="s">
        <v>17</v>
      </c>
      <c r="F849" t="s">
        <v>72</v>
      </c>
      <c r="G849" t="s">
        <v>36</v>
      </c>
      <c r="H849">
        <v>44151</v>
      </c>
      <c r="I849">
        <v>-32953.519999999997</v>
      </c>
      <c r="J849" t="s">
        <v>97</v>
      </c>
      <c r="K849" t="s">
        <v>48</v>
      </c>
      <c r="L849">
        <v>2025</v>
      </c>
      <c r="M849" t="s">
        <v>2146</v>
      </c>
    </row>
    <row r="850" spans="1:13" x14ac:dyDescent="0.35">
      <c r="A850" t="s">
        <v>2147</v>
      </c>
      <c r="B850" t="s">
        <v>2148</v>
      </c>
      <c r="C850" t="s">
        <v>76</v>
      </c>
      <c r="D850" t="s">
        <v>77</v>
      </c>
      <c r="E850" t="s">
        <v>27</v>
      </c>
      <c r="F850" t="s">
        <v>379</v>
      </c>
      <c r="G850" t="s">
        <v>68</v>
      </c>
      <c r="H850">
        <v>693647</v>
      </c>
      <c r="I850">
        <v>-30633.85</v>
      </c>
      <c r="J850" t="s">
        <v>20</v>
      </c>
      <c r="K850" t="s">
        <v>53</v>
      </c>
      <c r="L850">
        <v>2025</v>
      </c>
      <c r="M850" t="s">
        <v>439</v>
      </c>
    </row>
    <row r="851" spans="1:13" x14ac:dyDescent="0.35">
      <c r="A851" t="s">
        <v>2149</v>
      </c>
      <c r="B851" t="s">
        <v>2150</v>
      </c>
      <c r="C851" t="s">
        <v>76</v>
      </c>
      <c r="D851" t="s">
        <v>77</v>
      </c>
      <c r="E851" t="s">
        <v>17</v>
      </c>
      <c r="F851" t="s">
        <v>42</v>
      </c>
      <c r="G851" t="s">
        <v>68</v>
      </c>
      <c r="H851">
        <v>34864</v>
      </c>
      <c r="I851">
        <v>-28073.62</v>
      </c>
      <c r="J851" t="s">
        <v>59</v>
      </c>
      <c r="K851" t="s">
        <v>21</v>
      </c>
      <c r="L851">
        <v>2024</v>
      </c>
      <c r="M851" t="s">
        <v>1275</v>
      </c>
    </row>
    <row r="852" spans="1:13" x14ac:dyDescent="0.35">
      <c r="A852" t="s">
        <v>2151</v>
      </c>
      <c r="B852" t="s">
        <v>2152</v>
      </c>
      <c r="C852" t="s">
        <v>25</v>
      </c>
      <c r="D852" t="s">
        <v>26</v>
      </c>
      <c r="E852" t="s">
        <v>17</v>
      </c>
      <c r="F852" t="s">
        <v>112</v>
      </c>
      <c r="G852" t="s">
        <v>78</v>
      </c>
      <c r="H852">
        <v>148831</v>
      </c>
      <c r="I852">
        <v>-141856.92000000001</v>
      </c>
      <c r="J852" t="s">
        <v>59</v>
      </c>
      <c r="K852" t="s">
        <v>21</v>
      </c>
      <c r="L852">
        <v>2021</v>
      </c>
      <c r="M852" t="s">
        <v>1248</v>
      </c>
    </row>
    <row r="853" spans="1:13" x14ac:dyDescent="0.35">
      <c r="A853" t="s">
        <v>2153</v>
      </c>
      <c r="B853" t="s">
        <v>2154</v>
      </c>
      <c r="C853" t="s">
        <v>15</v>
      </c>
      <c r="D853" t="s">
        <v>46</v>
      </c>
      <c r="E853" t="s">
        <v>17</v>
      </c>
      <c r="F853" t="s">
        <v>42</v>
      </c>
      <c r="G853" t="s">
        <v>78</v>
      </c>
      <c r="H853">
        <v>132052</v>
      </c>
      <c r="I853">
        <v>-93914.03</v>
      </c>
      <c r="J853" t="s">
        <v>113</v>
      </c>
      <c r="K853" t="s">
        <v>21</v>
      </c>
      <c r="L853">
        <v>2023</v>
      </c>
      <c r="M853" t="s">
        <v>2155</v>
      </c>
    </row>
    <row r="854" spans="1:13" x14ac:dyDescent="0.35">
      <c r="A854" t="s">
        <v>2156</v>
      </c>
      <c r="B854" t="s">
        <v>2157</v>
      </c>
      <c r="C854" t="s">
        <v>25</v>
      </c>
      <c r="D854" t="s">
        <v>83</v>
      </c>
      <c r="E854" t="s">
        <v>17</v>
      </c>
      <c r="F854" t="s">
        <v>18</v>
      </c>
      <c r="G854" t="s">
        <v>68</v>
      </c>
      <c r="H854">
        <v>136951</v>
      </c>
      <c r="I854">
        <v>-102231.81</v>
      </c>
      <c r="J854" t="s">
        <v>212</v>
      </c>
      <c r="K854" t="s">
        <v>53</v>
      </c>
      <c r="L854">
        <v>2024</v>
      </c>
      <c r="M854" t="s">
        <v>657</v>
      </c>
    </row>
    <row r="855" spans="1:13" x14ac:dyDescent="0.35">
      <c r="A855" t="s">
        <v>2158</v>
      </c>
      <c r="B855" t="s">
        <v>2159</v>
      </c>
      <c r="C855" t="s">
        <v>76</v>
      </c>
      <c r="D855" t="s">
        <v>171</v>
      </c>
      <c r="E855" t="s">
        <v>34</v>
      </c>
      <c r="F855" t="s">
        <v>35</v>
      </c>
      <c r="G855" t="s">
        <v>19</v>
      </c>
      <c r="H855">
        <v>120773</v>
      </c>
      <c r="I855">
        <v>16743.16</v>
      </c>
      <c r="J855" t="s">
        <v>97</v>
      </c>
      <c r="K855" t="s">
        <v>53</v>
      </c>
      <c r="L855">
        <v>2023</v>
      </c>
      <c r="M855" t="s">
        <v>2014</v>
      </c>
    </row>
    <row r="856" spans="1:13" x14ac:dyDescent="0.35">
      <c r="A856" t="s">
        <v>2160</v>
      </c>
      <c r="B856" t="s">
        <v>2161</v>
      </c>
      <c r="C856" t="s">
        <v>25</v>
      </c>
      <c r="D856" t="s">
        <v>83</v>
      </c>
      <c r="E856" t="s">
        <v>27</v>
      </c>
      <c r="F856" t="s">
        <v>219</v>
      </c>
      <c r="G856" t="s">
        <v>36</v>
      </c>
      <c r="H856">
        <v>416226</v>
      </c>
      <c r="I856">
        <v>46605.58</v>
      </c>
      <c r="J856" t="s">
        <v>20</v>
      </c>
      <c r="K856" t="s">
        <v>21</v>
      </c>
      <c r="L856">
        <v>2025</v>
      </c>
      <c r="M856" t="s">
        <v>1185</v>
      </c>
    </row>
    <row r="857" spans="1:13" x14ac:dyDescent="0.35">
      <c r="A857" t="s">
        <v>2162</v>
      </c>
      <c r="B857" t="s">
        <v>1859</v>
      </c>
      <c r="C857" t="s">
        <v>15</v>
      </c>
      <c r="D857" t="s">
        <v>57</v>
      </c>
      <c r="E857" t="s">
        <v>34</v>
      </c>
      <c r="F857" t="s">
        <v>67</v>
      </c>
      <c r="G857" t="s">
        <v>68</v>
      </c>
      <c r="H857">
        <v>249456</v>
      </c>
      <c r="I857">
        <v>24238.97</v>
      </c>
      <c r="J857" t="s">
        <v>113</v>
      </c>
      <c r="K857" t="s">
        <v>53</v>
      </c>
      <c r="L857">
        <v>2025</v>
      </c>
      <c r="M857" t="s">
        <v>2163</v>
      </c>
    </row>
    <row r="858" spans="1:13" x14ac:dyDescent="0.35">
      <c r="A858" t="s">
        <v>2164</v>
      </c>
      <c r="B858" t="s">
        <v>2165</v>
      </c>
      <c r="C858" t="s">
        <v>40</v>
      </c>
      <c r="D858" t="s">
        <v>96</v>
      </c>
      <c r="E858" t="s">
        <v>17</v>
      </c>
      <c r="F858" t="s">
        <v>42</v>
      </c>
      <c r="G858" t="s">
        <v>78</v>
      </c>
      <c r="H858">
        <v>128340</v>
      </c>
      <c r="I858">
        <v>-108474.34</v>
      </c>
      <c r="J858" t="s">
        <v>212</v>
      </c>
      <c r="K858" t="s">
        <v>30</v>
      </c>
      <c r="L858">
        <v>2024</v>
      </c>
      <c r="M858" t="s">
        <v>2166</v>
      </c>
    </row>
    <row r="859" spans="1:13" x14ac:dyDescent="0.35">
      <c r="A859" t="s">
        <v>2167</v>
      </c>
      <c r="B859" t="s">
        <v>2168</v>
      </c>
      <c r="C859" t="s">
        <v>25</v>
      </c>
      <c r="D859" t="s">
        <v>149</v>
      </c>
      <c r="E859" t="s">
        <v>27</v>
      </c>
      <c r="F859" t="s">
        <v>219</v>
      </c>
      <c r="G859" t="s">
        <v>78</v>
      </c>
      <c r="H859">
        <v>690788</v>
      </c>
      <c r="I859">
        <v>26646.69</v>
      </c>
      <c r="J859" t="s">
        <v>29</v>
      </c>
      <c r="K859" t="s">
        <v>30</v>
      </c>
      <c r="L859">
        <v>2021</v>
      </c>
      <c r="M859" t="s">
        <v>1671</v>
      </c>
    </row>
    <row r="860" spans="1:13" x14ac:dyDescent="0.35">
      <c r="A860" t="s">
        <v>2169</v>
      </c>
      <c r="B860" t="s">
        <v>1122</v>
      </c>
      <c r="C860" t="s">
        <v>40</v>
      </c>
      <c r="D860" t="s">
        <v>41</v>
      </c>
      <c r="E860" t="s">
        <v>34</v>
      </c>
      <c r="F860" t="s">
        <v>58</v>
      </c>
      <c r="G860" t="s">
        <v>36</v>
      </c>
      <c r="H860">
        <v>221294</v>
      </c>
      <c r="I860">
        <v>19759.27</v>
      </c>
      <c r="J860" t="s">
        <v>59</v>
      </c>
      <c r="K860" t="s">
        <v>30</v>
      </c>
      <c r="L860">
        <v>2021</v>
      </c>
      <c r="M860" t="s">
        <v>1315</v>
      </c>
    </row>
    <row r="861" spans="1:13" x14ac:dyDescent="0.35">
      <c r="A861" t="s">
        <v>2170</v>
      </c>
      <c r="B861" t="s">
        <v>2171</v>
      </c>
      <c r="C861" t="s">
        <v>15</v>
      </c>
      <c r="D861" t="s">
        <v>57</v>
      </c>
      <c r="E861" t="s">
        <v>17</v>
      </c>
      <c r="F861" t="s">
        <v>112</v>
      </c>
      <c r="G861" t="s">
        <v>36</v>
      </c>
      <c r="H861">
        <v>178093</v>
      </c>
      <c r="I861">
        <v>-151460.45000000001</v>
      </c>
      <c r="J861" t="s">
        <v>97</v>
      </c>
      <c r="K861" t="s">
        <v>48</v>
      </c>
      <c r="L861">
        <v>2024</v>
      </c>
      <c r="M861" t="s">
        <v>2172</v>
      </c>
    </row>
    <row r="862" spans="1:13" x14ac:dyDescent="0.35">
      <c r="A862" t="s">
        <v>2173</v>
      </c>
      <c r="B862" t="s">
        <v>1637</v>
      </c>
      <c r="C862" t="s">
        <v>76</v>
      </c>
      <c r="D862" t="s">
        <v>77</v>
      </c>
      <c r="E862" t="s">
        <v>17</v>
      </c>
      <c r="F862" t="s">
        <v>112</v>
      </c>
      <c r="G862" t="s">
        <v>78</v>
      </c>
      <c r="H862">
        <v>6039</v>
      </c>
      <c r="I862">
        <v>-5445.52</v>
      </c>
      <c r="J862" t="s">
        <v>212</v>
      </c>
      <c r="K862" t="s">
        <v>53</v>
      </c>
      <c r="L862">
        <v>2022</v>
      </c>
      <c r="M862" t="s">
        <v>2174</v>
      </c>
    </row>
    <row r="863" spans="1:13" x14ac:dyDescent="0.35">
      <c r="A863" t="s">
        <v>2175</v>
      </c>
      <c r="B863" t="s">
        <v>1245</v>
      </c>
      <c r="C863" t="s">
        <v>15</v>
      </c>
      <c r="D863" t="s">
        <v>16</v>
      </c>
      <c r="E863" t="s">
        <v>27</v>
      </c>
      <c r="F863" t="s">
        <v>204</v>
      </c>
      <c r="G863" t="s">
        <v>19</v>
      </c>
      <c r="H863">
        <v>609913</v>
      </c>
      <c r="I863">
        <v>53884.37</v>
      </c>
      <c r="J863" t="s">
        <v>113</v>
      </c>
      <c r="K863" t="s">
        <v>21</v>
      </c>
      <c r="L863">
        <v>2021</v>
      </c>
      <c r="M863" t="s">
        <v>1343</v>
      </c>
    </row>
    <row r="864" spans="1:13" x14ac:dyDescent="0.35">
      <c r="A864" t="s">
        <v>2176</v>
      </c>
      <c r="B864" t="s">
        <v>2177</v>
      </c>
      <c r="C864" t="s">
        <v>76</v>
      </c>
      <c r="D864" t="s">
        <v>105</v>
      </c>
      <c r="E864" t="s">
        <v>17</v>
      </c>
      <c r="F864" t="s">
        <v>18</v>
      </c>
      <c r="G864" t="s">
        <v>68</v>
      </c>
      <c r="H864">
        <v>199382</v>
      </c>
      <c r="I864">
        <v>-177362.66</v>
      </c>
      <c r="J864" t="s">
        <v>113</v>
      </c>
      <c r="K864" t="s">
        <v>21</v>
      </c>
      <c r="L864">
        <v>2025</v>
      </c>
      <c r="M864" t="s">
        <v>2178</v>
      </c>
    </row>
    <row r="865" spans="1:13" x14ac:dyDescent="0.35">
      <c r="A865" t="s">
        <v>2179</v>
      </c>
      <c r="B865" t="s">
        <v>2180</v>
      </c>
      <c r="C865" t="s">
        <v>40</v>
      </c>
      <c r="D865" t="s">
        <v>41</v>
      </c>
      <c r="E865" t="s">
        <v>34</v>
      </c>
      <c r="F865" t="s">
        <v>58</v>
      </c>
      <c r="G865" t="s">
        <v>36</v>
      </c>
      <c r="H865">
        <v>253351</v>
      </c>
      <c r="I865">
        <v>30100</v>
      </c>
      <c r="J865" t="s">
        <v>20</v>
      </c>
      <c r="K865" t="s">
        <v>48</v>
      </c>
      <c r="L865">
        <v>2024</v>
      </c>
      <c r="M865" t="s">
        <v>855</v>
      </c>
    </row>
    <row r="866" spans="1:13" x14ac:dyDescent="0.35">
      <c r="A866" t="s">
        <v>2181</v>
      </c>
      <c r="B866" t="s">
        <v>2182</v>
      </c>
      <c r="C866" t="s">
        <v>40</v>
      </c>
      <c r="D866" t="s">
        <v>66</v>
      </c>
      <c r="E866" t="s">
        <v>34</v>
      </c>
      <c r="F866" t="s">
        <v>67</v>
      </c>
      <c r="G866" t="s">
        <v>19</v>
      </c>
      <c r="H866">
        <v>261300</v>
      </c>
      <c r="I866">
        <v>15031.66</v>
      </c>
      <c r="J866" t="s">
        <v>20</v>
      </c>
      <c r="K866" t="s">
        <v>30</v>
      </c>
      <c r="L866">
        <v>2024</v>
      </c>
      <c r="M866" t="s">
        <v>1674</v>
      </c>
    </row>
    <row r="867" spans="1:13" x14ac:dyDescent="0.35">
      <c r="A867" t="s">
        <v>2183</v>
      </c>
      <c r="B867" t="s">
        <v>1600</v>
      </c>
      <c r="C867" t="s">
        <v>40</v>
      </c>
      <c r="D867" t="s">
        <v>66</v>
      </c>
      <c r="E867" t="s">
        <v>34</v>
      </c>
      <c r="F867" t="s">
        <v>35</v>
      </c>
      <c r="G867" t="s">
        <v>19</v>
      </c>
      <c r="H867">
        <v>297292</v>
      </c>
      <c r="I867">
        <v>27374.959999999999</v>
      </c>
      <c r="J867" t="s">
        <v>29</v>
      </c>
      <c r="K867" t="s">
        <v>21</v>
      </c>
      <c r="L867">
        <v>2023</v>
      </c>
      <c r="M867" t="s">
        <v>2184</v>
      </c>
    </row>
    <row r="868" spans="1:13" x14ac:dyDescent="0.35">
      <c r="A868" t="s">
        <v>2185</v>
      </c>
      <c r="B868" t="s">
        <v>340</v>
      </c>
      <c r="C868" t="s">
        <v>76</v>
      </c>
      <c r="D868" t="s">
        <v>105</v>
      </c>
      <c r="E868" t="s">
        <v>34</v>
      </c>
      <c r="F868" t="s">
        <v>58</v>
      </c>
      <c r="G868" t="s">
        <v>68</v>
      </c>
      <c r="H868">
        <v>83503</v>
      </c>
      <c r="I868">
        <v>6106.84</v>
      </c>
      <c r="J868" t="s">
        <v>212</v>
      </c>
      <c r="K868" t="s">
        <v>53</v>
      </c>
      <c r="L868">
        <v>2022</v>
      </c>
      <c r="M868" t="s">
        <v>2186</v>
      </c>
    </row>
    <row r="869" spans="1:13" x14ac:dyDescent="0.35">
      <c r="A869" t="s">
        <v>2187</v>
      </c>
      <c r="B869" t="s">
        <v>2188</v>
      </c>
      <c r="C869" t="s">
        <v>40</v>
      </c>
      <c r="D869" t="s">
        <v>66</v>
      </c>
      <c r="E869" t="s">
        <v>34</v>
      </c>
      <c r="F869" t="s">
        <v>67</v>
      </c>
      <c r="G869" t="s">
        <v>68</v>
      </c>
      <c r="H869">
        <v>46594</v>
      </c>
      <c r="I869">
        <v>8528.5300000000007</v>
      </c>
      <c r="J869" t="s">
        <v>20</v>
      </c>
      <c r="K869" t="s">
        <v>30</v>
      </c>
      <c r="L869">
        <v>2024</v>
      </c>
      <c r="M869" t="s">
        <v>2186</v>
      </c>
    </row>
    <row r="870" spans="1:13" x14ac:dyDescent="0.35">
      <c r="A870" t="s">
        <v>2189</v>
      </c>
      <c r="B870" t="s">
        <v>104</v>
      </c>
      <c r="C870" t="s">
        <v>25</v>
      </c>
      <c r="D870" t="s">
        <v>149</v>
      </c>
      <c r="E870" t="s">
        <v>34</v>
      </c>
      <c r="F870" t="s">
        <v>58</v>
      </c>
      <c r="G870" t="s">
        <v>68</v>
      </c>
      <c r="H870">
        <v>211204</v>
      </c>
      <c r="I870">
        <v>18869.919999999998</v>
      </c>
      <c r="J870" t="s">
        <v>59</v>
      </c>
      <c r="K870" t="s">
        <v>53</v>
      </c>
      <c r="L870">
        <v>2022</v>
      </c>
      <c r="M870" t="s">
        <v>2190</v>
      </c>
    </row>
    <row r="871" spans="1:13" x14ac:dyDescent="0.35">
      <c r="A871" t="s">
        <v>2191</v>
      </c>
      <c r="B871" t="s">
        <v>2192</v>
      </c>
      <c r="C871" t="s">
        <v>40</v>
      </c>
      <c r="D871" t="s">
        <v>41</v>
      </c>
      <c r="E871" t="s">
        <v>34</v>
      </c>
      <c r="F871" t="s">
        <v>58</v>
      </c>
      <c r="G871" t="s">
        <v>78</v>
      </c>
      <c r="H871">
        <v>46914</v>
      </c>
      <c r="I871">
        <v>4344.47</v>
      </c>
      <c r="J871" t="s">
        <v>79</v>
      </c>
      <c r="K871" t="s">
        <v>48</v>
      </c>
      <c r="L871">
        <v>2021</v>
      </c>
      <c r="M871" t="s">
        <v>2193</v>
      </c>
    </row>
    <row r="872" spans="1:13" x14ac:dyDescent="0.35">
      <c r="A872" t="s">
        <v>2194</v>
      </c>
      <c r="B872" t="s">
        <v>2195</v>
      </c>
      <c r="C872" t="s">
        <v>25</v>
      </c>
      <c r="D872" t="s">
        <v>83</v>
      </c>
      <c r="E872" t="s">
        <v>34</v>
      </c>
      <c r="F872" t="s">
        <v>101</v>
      </c>
      <c r="G872" t="s">
        <v>78</v>
      </c>
      <c r="H872">
        <v>219373</v>
      </c>
      <c r="I872">
        <v>50336.97</v>
      </c>
      <c r="J872" t="s">
        <v>47</v>
      </c>
      <c r="K872" t="s">
        <v>48</v>
      </c>
      <c r="L872">
        <v>2024</v>
      </c>
      <c r="M872" t="s">
        <v>2196</v>
      </c>
    </row>
    <row r="873" spans="1:13" x14ac:dyDescent="0.35">
      <c r="A873" t="s">
        <v>2197</v>
      </c>
      <c r="B873" t="s">
        <v>1507</v>
      </c>
      <c r="C873" t="s">
        <v>15</v>
      </c>
      <c r="D873" t="s">
        <v>57</v>
      </c>
      <c r="E873" t="s">
        <v>27</v>
      </c>
      <c r="F873" t="s">
        <v>379</v>
      </c>
      <c r="G873" t="s">
        <v>78</v>
      </c>
      <c r="H873">
        <v>184409</v>
      </c>
      <c r="I873">
        <v>12506.49</v>
      </c>
      <c r="J873" t="s">
        <v>47</v>
      </c>
      <c r="K873" t="s">
        <v>48</v>
      </c>
      <c r="L873">
        <v>2024</v>
      </c>
      <c r="M873" t="s">
        <v>2198</v>
      </c>
    </row>
    <row r="874" spans="1:13" x14ac:dyDescent="0.35">
      <c r="A874" t="s">
        <v>2199</v>
      </c>
      <c r="B874" t="s">
        <v>2200</v>
      </c>
      <c r="C874" t="s">
        <v>25</v>
      </c>
      <c r="D874" t="s">
        <v>26</v>
      </c>
      <c r="E874" t="s">
        <v>34</v>
      </c>
      <c r="F874" t="s">
        <v>35</v>
      </c>
      <c r="G874" t="s">
        <v>36</v>
      </c>
      <c r="H874">
        <v>115699</v>
      </c>
      <c r="I874">
        <v>22572.1</v>
      </c>
      <c r="J874" t="s">
        <v>47</v>
      </c>
      <c r="K874" t="s">
        <v>48</v>
      </c>
      <c r="L874">
        <v>2023</v>
      </c>
      <c r="M874" t="s">
        <v>2201</v>
      </c>
    </row>
    <row r="875" spans="1:13" x14ac:dyDescent="0.35">
      <c r="A875" t="s">
        <v>2202</v>
      </c>
      <c r="B875" t="s">
        <v>2203</v>
      </c>
      <c r="C875" t="s">
        <v>40</v>
      </c>
      <c r="D875" t="s">
        <v>96</v>
      </c>
      <c r="E875" t="s">
        <v>17</v>
      </c>
      <c r="F875" t="s">
        <v>42</v>
      </c>
      <c r="G875" t="s">
        <v>78</v>
      </c>
      <c r="H875">
        <v>154062</v>
      </c>
      <c r="I875">
        <v>-131208.69</v>
      </c>
      <c r="J875" t="s">
        <v>59</v>
      </c>
      <c r="K875" t="s">
        <v>21</v>
      </c>
      <c r="L875">
        <v>2024</v>
      </c>
      <c r="M875" t="s">
        <v>860</v>
      </c>
    </row>
    <row r="876" spans="1:13" x14ac:dyDescent="0.35">
      <c r="A876" t="s">
        <v>2204</v>
      </c>
      <c r="B876" t="s">
        <v>1568</v>
      </c>
      <c r="C876" t="s">
        <v>40</v>
      </c>
      <c r="D876" t="s">
        <v>66</v>
      </c>
      <c r="E876" t="s">
        <v>34</v>
      </c>
      <c r="F876" t="s">
        <v>58</v>
      </c>
      <c r="G876" t="s">
        <v>68</v>
      </c>
      <c r="H876">
        <v>201197</v>
      </c>
      <c r="I876">
        <v>29984.33</v>
      </c>
      <c r="J876" t="s">
        <v>29</v>
      </c>
      <c r="K876" t="s">
        <v>53</v>
      </c>
      <c r="L876">
        <v>2025</v>
      </c>
      <c r="M876" t="s">
        <v>1445</v>
      </c>
    </row>
    <row r="877" spans="1:13" x14ac:dyDescent="0.35">
      <c r="A877" t="s">
        <v>2205</v>
      </c>
      <c r="B877" t="s">
        <v>2206</v>
      </c>
      <c r="C877" t="s">
        <v>15</v>
      </c>
      <c r="D877" t="s">
        <v>16</v>
      </c>
      <c r="E877" t="s">
        <v>34</v>
      </c>
      <c r="F877" t="s">
        <v>101</v>
      </c>
      <c r="G877" t="s">
        <v>19</v>
      </c>
      <c r="H877">
        <v>233692</v>
      </c>
      <c r="I877">
        <v>58385.87</v>
      </c>
      <c r="J877" t="s">
        <v>29</v>
      </c>
      <c r="K877" t="s">
        <v>53</v>
      </c>
      <c r="L877">
        <v>2024</v>
      </c>
      <c r="M877" t="s">
        <v>73</v>
      </c>
    </row>
    <row r="878" spans="1:13" x14ac:dyDescent="0.35">
      <c r="A878" t="s">
        <v>2207</v>
      </c>
      <c r="B878" t="s">
        <v>1730</v>
      </c>
      <c r="C878" t="s">
        <v>40</v>
      </c>
      <c r="D878" t="s">
        <v>96</v>
      </c>
      <c r="E878" t="s">
        <v>27</v>
      </c>
      <c r="F878" t="s">
        <v>28</v>
      </c>
      <c r="G878" t="s">
        <v>68</v>
      </c>
      <c r="H878">
        <v>747380</v>
      </c>
      <c r="I878">
        <v>-21597.01</v>
      </c>
      <c r="J878" t="s">
        <v>97</v>
      </c>
      <c r="K878" t="s">
        <v>30</v>
      </c>
      <c r="L878">
        <v>2025</v>
      </c>
      <c r="M878" t="s">
        <v>2208</v>
      </c>
    </row>
    <row r="879" spans="1:13" x14ac:dyDescent="0.35">
      <c r="A879" t="s">
        <v>2209</v>
      </c>
      <c r="B879" t="s">
        <v>925</v>
      </c>
      <c r="C879" t="s">
        <v>15</v>
      </c>
      <c r="D879" t="s">
        <v>16</v>
      </c>
      <c r="E879" t="s">
        <v>27</v>
      </c>
      <c r="F879" t="s">
        <v>219</v>
      </c>
      <c r="G879" t="s">
        <v>19</v>
      </c>
      <c r="H879">
        <v>213252</v>
      </c>
      <c r="I879">
        <v>22371.24</v>
      </c>
      <c r="J879" t="s">
        <v>29</v>
      </c>
      <c r="K879" t="s">
        <v>21</v>
      </c>
      <c r="L879">
        <v>2022</v>
      </c>
      <c r="M879" t="s">
        <v>995</v>
      </c>
    </row>
    <row r="880" spans="1:13" x14ac:dyDescent="0.35">
      <c r="A880" t="s">
        <v>2210</v>
      </c>
      <c r="B880" t="s">
        <v>2211</v>
      </c>
      <c r="C880" t="s">
        <v>40</v>
      </c>
      <c r="D880" t="s">
        <v>96</v>
      </c>
      <c r="E880" t="s">
        <v>34</v>
      </c>
      <c r="F880" t="s">
        <v>58</v>
      </c>
      <c r="G880" t="s">
        <v>68</v>
      </c>
      <c r="H880">
        <v>243797</v>
      </c>
      <c r="I880">
        <v>39834.230000000003</v>
      </c>
      <c r="J880" t="s">
        <v>79</v>
      </c>
      <c r="K880" t="s">
        <v>30</v>
      </c>
      <c r="L880">
        <v>2025</v>
      </c>
      <c r="M880" t="s">
        <v>1810</v>
      </c>
    </row>
    <row r="881" spans="1:13" x14ac:dyDescent="0.35">
      <c r="A881" t="s">
        <v>2212</v>
      </c>
      <c r="B881" t="s">
        <v>1771</v>
      </c>
      <c r="C881" t="s">
        <v>76</v>
      </c>
      <c r="D881" t="s">
        <v>171</v>
      </c>
      <c r="E881" t="s">
        <v>34</v>
      </c>
      <c r="F881" t="s">
        <v>35</v>
      </c>
      <c r="G881" t="s">
        <v>19</v>
      </c>
      <c r="H881">
        <v>23335</v>
      </c>
      <c r="I881">
        <v>5405.81</v>
      </c>
      <c r="J881" t="s">
        <v>47</v>
      </c>
      <c r="K881" t="s">
        <v>21</v>
      </c>
      <c r="L881">
        <v>2021</v>
      </c>
      <c r="M881" t="s">
        <v>1062</v>
      </c>
    </row>
    <row r="882" spans="1:13" x14ac:dyDescent="0.35">
      <c r="A882" t="s">
        <v>2213</v>
      </c>
      <c r="B882" t="s">
        <v>2214</v>
      </c>
      <c r="C882" t="s">
        <v>25</v>
      </c>
      <c r="D882" t="s">
        <v>83</v>
      </c>
      <c r="E882" t="s">
        <v>27</v>
      </c>
      <c r="F882" t="s">
        <v>28</v>
      </c>
      <c r="G882" t="s">
        <v>68</v>
      </c>
      <c r="H882">
        <v>282962</v>
      </c>
      <c r="I882">
        <v>-9608.64</v>
      </c>
      <c r="J882" t="s">
        <v>79</v>
      </c>
      <c r="K882" t="s">
        <v>21</v>
      </c>
      <c r="L882">
        <v>2021</v>
      </c>
      <c r="M882" t="s">
        <v>2215</v>
      </c>
    </row>
    <row r="883" spans="1:13" x14ac:dyDescent="0.35">
      <c r="A883" t="s">
        <v>2216</v>
      </c>
      <c r="B883" t="s">
        <v>142</v>
      </c>
      <c r="C883" t="s">
        <v>40</v>
      </c>
      <c r="D883" t="s">
        <v>66</v>
      </c>
      <c r="E883" t="s">
        <v>17</v>
      </c>
      <c r="F883" t="s">
        <v>18</v>
      </c>
      <c r="G883" t="s">
        <v>19</v>
      </c>
      <c r="H883">
        <v>127919</v>
      </c>
      <c r="I883">
        <v>-96421.72</v>
      </c>
      <c r="J883" t="s">
        <v>113</v>
      </c>
      <c r="K883" t="s">
        <v>21</v>
      </c>
      <c r="L883">
        <v>2024</v>
      </c>
      <c r="M883" t="s">
        <v>2217</v>
      </c>
    </row>
    <row r="884" spans="1:13" x14ac:dyDescent="0.35">
      <c r="A884" t="s">
        <v>2218</v>
      </c>
      <c r="B884" t="s">
        <v>2219</v>
      </c>
      <c r="C884" t="s">
        <v>40</v>
      </c>
      <c r="D884" t="s">
        <v>41</v>
      </c>
      <c r="E884" t="s">
        <v>34</v>
      </c>
      <c r="F884" t="s">
        <v>58</v>
      </c>
      <c r="G884" t="s">
        <v>19</v>
      </c>
      <c r="H884">
        <v>222230</v>
      </c>
      <c r="I884">
        <v>52359.66</v>
      </c>
      <c r="J884" t="s">
        <v>212</v>
      </c>
      <c r="K884" t="s">
        <v>48</v>
      </c>
      <c r="L884">
        <v>2022</v>
      </c>
      <c r="M884" t="s">
        <v>747</v>
      </c>
    </row>
    <row r="885" spans="1:13" x14ac:dyDescent="0.35">
      <c r="A885" t="s">
        <v>2220</v>
      </c>
      <c r="B885" t="s">
        <v>436</v>
      </c>
      <c r="C885" t="s">
        <v>40</v>
      </c>
      <c r="D885" t="s">
        <v>41</v>
      </c>
      <c r="E885" t="s">
        <v>17</v>
      </c>
      <c r="F885" t="s">
        <v>72</v>
      </c>
      <c r="G885" t="s">
        <v>68</v>
      </c>
      <c r="H885">
        <v>198255</v>
      </c>
      <c r="I885">
        <v>-174320.93</v>
      </c>
      <c r="J885" t="s">
        <v>29</v>
      </c>
      <c r="K885" t="s">
        <v>30</v>
      </c>
      <c r="L885">
        <v>2024</v>
      </c>
      <c r="M885" t="s">
        <v>2074</v>
      </c>
    </row>
    <row r="886" spans="1:13" x14ac:dyDescent="0.35">
      <c r="A886" t="s">
        <v>2221</v>
      </c>
      <c r="B886" t="s">
        <v>2222</v>
      </c>
      <c r="C886" t="s">
        <v>40</v>
      </c>
      <c r="D886" t="s">
        <v>96</v>
      </c>
      <c r="E886" t="s">
        <v>17</v>
      </c>
      <c r="F886" t="s">
        <v>72</v>
      </c>
      <c r="G886" t="s">
        <v>36</v>
      </c>
      <c r="H886">
        <v>120152</v>
      </c>
      <c r="I886">
        <v>-92973.56</v>
      </c>
      <c r="J886" t="s">
        <v>47</v>
      </c>
      <c r="K886" t="s">
        <v>21</v>
      </c>
      <c r="L886">
        <v>2022</v>
      </c>
      <c r="M886" t="s">
        <v>546</v>
      </c>
    </row>
    <row r="887" spans="1:13" x14ac:dyDescent="0.35">
      <c r="A887" t="s">
        <v>2223</v>
      </c>
      <c r="B887" t="s">
        <v>2224</v>
      </c>
      <c r="C887" t="s">
        <v>76</v>
      </c>
      <c r="D887" t="s">
        <v>171</v>
      </c>
      <c r="E887" t="s">
        <v>17</v>
      </c>
      <c r="F887" t="s">
        <v>18</v>
      </c>
      <c r="G887" t="s">
        <v>19</v>
      </c>
      <c r="H887">
        <v>113750</v>
      </c>
      <c r="I887">
        <v>-107737.14</v>
      </c>
      <c r="J887" t="s">
        <v>20</v>
      </c>
      <c r="K887" t="s">
        <v>53</v>
      </c>
      <c r="L887">
        <v>2022</v>
      </c>
      <c r="M887" t="s">
        <v>87</v>
      </c>
    </row>
    <row r="888" spans="1:13" x14ac:dyDescent="0.35">
      <c r="A888" t="s">
        <v>2225</v>
      </c>
      <c r="B888" t="s">
        <v>2226</v>
      </c>
      <c r="C888" t="s">
        <v>15</v>
      </c>
      <c r="D888" t="s">
        <v>57</v>
      </c>
      <c r="E888" t="s">
        <v>34</v>
      </c>
      <c r="F888" t="s">
        <v>67</v>
      </c>
      <c r="G888" t="s">
        <v>19</v>
      </c>
      <c r="H888">
        <v>289903</v>
      </c>
      <c r="I888">
        <v>17629.05</v>
      </c>
      <c r="J888" t="s">
        <v>113</v>
      </c>
      <c r="K888" t="s">
        <v>21</v>
      </c>
      <c r="L888">
        <v>2025</v>
      </c>
      <c r="M888" t="s">
        <v>1376</v>
      </c>
    </row>
    <row r="889" spans="1:13" x14ac:dyDescent="0.35">
      <c r="A889" t="s">
        <v>2227</v>
      </c>
      <c r="B889" t="s">
        <v>2228</v>
      </c>
      <c r="C889" t="s">
        <v>40</v>
      </c>
      <c r="D889" t="s">
        <v>96</v>
      </c>
      <c r="E889" t="s">
        <v>34</v>
      </c>
      <c r="F889" t="s">
        <v>101</v>
      </c>
      <c r="G889" t="s">
        <v>68</v>
      </c>
      <c r="H889">
        <v>212099</v>
      </c>
      <c r="I889">
        <v>45539.98</v>
      </c>
      <c r="J889" t="s">
        <v>113</v>
      </c>
      <c r="K889" t="s">
        <v>48</v>
      </c>
      <c r="L889">
        <v>2022</v>
      </c>
      <c r="M889" t="s">
        <v>2229</v>
      </c>
    </row>
    <row r="890" spans="1:13" x14ac:dyDescent="0.35">
      <c r="A890" t="s">
        <v>2230</v>
      </c>
      <c r="B890" t="s">
        <v>2231</v>
      </c>
      <c r="C890" t="s">
        <v>25</v>
      </c>
      <c r="D890" t="s">
        <v>26</v>
      </c>
      <c r="E890" t="s">
        <v>34</v>
      </c>
      <c r="F890" t="s">
        <v>58</v>
      </c>
      <c r="G890" t="s">
        <v>36</v>
      </c>
      <c r="H890">
        <v>269972</v>
      </c>
      <c r="I890">
        <v>63146.27</v>
      </c>
      <c r="J890" t="s">
        <v>79</v>
      </c>
      <c r="K890" t="s">
        <v>48</v>
      </c>
      <c r="L890">
        <v>2025</v>
      </c>
      <c r="M890" t="s">
        <v>1962</v>
      </c>
    </row>
    <row r="891" spans="1:13" x14ac:dyDescent="0.35">
      <c r="A891" t="s">
        <v>2232</v>
      </c>
      <c r="B891" t="s">
        <v>2233</v>
      </c>
      <c r="C891" t="s">
        <v>40</v>
      </c>
      <c r="D891" t="s">
        <v>96</v>
      </c>
      <c r="E891" t="s">
        <v>34</v>
      </c>
      <c r="F891" t="s">
        <v>35</v>
      </c>
      <c r="G891" t="s">
        <v>36</v>
      </c>
      <c r="H891">
        <v>248160</v>
      </c>
      <c r="I891">
        <v>20594.72</v>
      </c>
      <c r="J891" t="s">
        <v>97</v>
      </c>
      <c r="K891" t="s">
        <v>48</v>
      </c>
      <c r="L891">
        <v>2021</v>
      </c>
      <c r="M891" t="s">
        <v>2035</v>
      </c>
    </row>
    <row r="892" spans="1:13" x14ac:dyDescent="0.35">
      <c r="A892" t="s">
        <v>2234</v>
      </c>
      <c r="B892" t="s">
        <v>2039</v>
      </c>
      <c r="C892" t="s">
        <v>40</v>
      </c>
      <c r="D892" t="s">
        <v>41</v>
      </c>
      <c r="E892" t="s">
        <v>27</v>
      </c>
      <c r="F892" t="s">
        <v>379</v>
      </c>
      <c r="G892" t="s">
        <v>36</v>
      </c>
      <c r="H892">
        <v>168052</v>
      </c>
      <c r="I892">
        <v>17091.43</v>
      </c>
      <c r="J892" t="s">
        <v>113</v>
      </c>
      <c r="K892" t="s">
        <v>21</v>
      </c>
      <c r="L892">
        <v>2021</v>
      </c>
      <c r="M892" t="s">
        <v>2235</v>
      </c>
    </row>
    <row r="893" spans="1:13" x14ac:dyDescent="0.35">
      <c r="A893" t="s">
        <v>2236</v>
      </c>
      <c r="B893" t="s">
        <v>2237</v>
      </c>
      <c r="C893" t="s">
        <v>15</v>
      </c>
      <c r="D893" t="s">
        <v>46</v>
      </c>
      <c r="E893" t="s">
        <v>17</v>
      </c>
      <c r="F893" t="s">
        <v>72</v>
      </c>
      <c r="G893" t="s">
        <v>19</v>
      </c>
      <c r="H893">
        <v>118032</v>
      </c>
      <c r="I893">
        <v>-104299.97</v>
      </c>
      <c r="J893" t="s">
        <v>97</v>
      </c>
      <c r="K893" t="s">
        <v>30</v>
      </c>
      <c r="L893">
        <v>2022</v>
      </c>
      <c r="M893" t="s">
        <v>2238</v>
      </c>
    </row>
    <row r="894" spans="1:13" x14ac:dyDescent="0.35">
      <c r="A894" t="s">
        <v>2239</v>
      </c>
      <c r="B894" t="s">
        <v>2240</v>
      </c>
      <c r="C894" t="s">
        <v>76</v>
      </c>
      <c r="D894" t="s">
        <v>77</v>
      </c>
      <c r="E894" t="s">
        <v>34</v>
      </c>
      <c r="F894" t="s">
        <v>101</v>
      </c>
      <c r="G894" t="s">
        <v>36</v>
      </c>
      <c r="H894">
        <v>215643</v>
      </c>
      <c r="I894">
        <v>47359.43</v>
      </c>
      <c r="J894" t="s">
        <v>47</v>
      </c>
      <c r="K894" t="s">
        <v>48</v>
      </c>
      <c r="L894">
        <v>2025</v>
      </c>
      <c r="M894" t="s">
        <v>2085</v>
      </c>
    </row>
    <row r="895" spans="1:13" x14ac:dyDescent="0.35">
      <c r="A895" t="s">
        <v>2241</v>
      </c>
      <c r="B895" t="s">
        <v>1187</v>
      </c>
      <c r="C895" t="s">
        <v>15</v>
      </c>
      <c r="D895" t="s">
        <v>46</v>
      </c>
      <c r="E895" t="s">
        <v>34</v>
      </c>
      <c r="F895" t="s">
        <v>101</v>
      </c>
      <c r="G895" t="s">
        <v>19</v>
      </c>
      <c r="H895">
        <v>137616</v>
      </c>
      <c r="I895">
        <v>20811.060000000001</v>
      </c>
      <c r="J895" t="s">
        <v>97</v>
      </c>
      <c r="K895" t="s">
        <v>48</v>
      </c>
      <c r="L895">
        <v>2023</v>
      </c>
      <c r="M895" t="s">
        <v>2242</v>
      </c>
    </row>
    <row r="896" spans="1:13" x14ac:dyDescent="0.35">
      <c r="A896" t="s">
        <v>2243</v>
      </c>
      <c r="B896" t="s">
        <v>2244</v>
      </c>
      <c r="C896" t="s">
        <v>40</v>
      </c>
      <c r="D896" t="s">
        <v>66</v>
      </c>
      <c r="E896" t="s">
        <v>34</v>
      </c>
      <c r="F896" t="s">
        <v>58</v>
      </c>
      <c r="G896" t="s">
        <v>78</v>
      </c>
      <c r="H896">
        <v>283057</v>
      </c>
      <c r="I896">
        <v>61148.68</v>
      </c>
      <c r="J896" t="s">
        <v>59</v>
      </c>
      <c r="K896" t="s">
        <v>21</v>
      </c>
      <c r="L896">
        <v>2024</v>
      </c>
      <c r="M896" t="s">
        <v>2245</v>
      </c>
    </row>
    <row r="897" spans="1:13" x14ac:dyDescent="0.35">
      <c r="A897" t="s">
        <v>2246</v>
      </c>
      <c r="B897" t="s">
        <v>2247</v>
      </c>
      <c r="C897" t="s">
        <v>40</v>
      </c>
      <c r="D897" t="s">
        <v>41</v>
      </c>
      <c r="E897" t="s">
        <v>27</v>
      </c>
      <c r="F897" t="s">
        <v>28</v>
      </c>
      <c r="G897" t="s">
        <v>36</v>
      </c>
      <c r="H897">
        <v>137923</v>
      </c>
      <c r="I897">
        <v>5070.8100000000004</v>
      </c>
      <c r="J897" t="s">
        <v>79</v>
      </c>
      <c r="K897" t="s">
        <v>48</v>
      </c>
      <c r="L897">
        <v>2022</v>
      </c>
      <c r="M897" t="s">
        <v>2248</v>
      </c>
    </row>
    <row r="898" spans="1:13" x14ac:dyDescent="0.35">
      <c r="A898" t="s">
        <v>2249</v>
      </c>
      <c r="B898" t="s">
        <v>2250</v>
      </c>
      <c r="C898" t="s">
        <v>40</v>
      </c>
      <c r="D898" t="s">
        <v>66</v>
      </c>
      <c r="E898" t="s">
        <v>34</v>
      </c>
      <c r="F898" t="s">
        <v>58</v>
      </c>
      <c r="G898" t="s">
        <v>36</v>
      </c>
      <c r="H898">
        <v>208982</v>
      </c>
      <c r="I898">
        <v>12011.86</v>
      </c>
      <c r="J898" t="s">
        <v>47</v>
      </c>
      <c r="K898" t="s">
        <v>30</v>
      </c>
      <c r="L898">
        <v>2024</v>
      </c>
      <c r="M898" t="s">
        <v>2251</v>
      </c>
    </row>
    <row r="899" spans="1:13" x14ac:dyDescent="0.35">
      <c r="A899" t="s">
        <v>2252</v>
      </c>
      <c r="B899" t="s">
        <v>2253</v>
      </c>
      <c r="C899" t="s">
        <v>40</v>
      </c>
      <c r="D899" t="s">
        <v>66</v>
      </c>
      <c r="E899" t="s">
        <v>17</v>
      </c>
      <c r="F899" t="s">
        <v>18</v>
      </c>
      <c r="G899" t="s">
        <v>19</v>
      </c>
      <c r="H899">
        <v>34464</v>
      </c>
      <c r="I899">
        <v>-26008.74</v>
      </c>
      <c r="J899" t="s">
        <v>47</v>
      </c>
      <c r="K899" t="s">
        <v>48</v>
      </c>
      <c r="L899">
        <v>2021</v>
      </c>
      <c r="M899" t="s">
        <v>2254</v>
      </c>
    </row>
    <row r="900" spans="1:13" x14ac:dyDescent="0.35">
      <c r="A900" t="s">
        <v>2255</v>
      </c>
      <c r="B900" t="s">
        <v>656</v>
      </c>
      <c r="C900" t="s">
        <v>15</v>
      </c>
      <c r="D900" t="s">
        <v>57</v>
      </c>
      <c r="E900" t="s">
        <v>34</v>
      </c>
      <c r="F900" t="s">
        <v>35</v>
      </c>
      <c r="G900" t="s">
        <v>19</v>
      </c>
      <c r="H900">
        <v>55439</v>
      </c>
      <c r="I900">
        <v>11842.66</v>
      </c>
      <c r="J900" t="s">
        <v>47</v>
      </c>
      <c r="K900" t="s">
        <v>53</v>
      </c>
      <c r="L900">
        <v>2022</v>
      </c>
      <c r="M900" t="s">
        <v>2256</v>
      </c>
    </row>
    <row r="901" spans="1:13" x14ac:dyDescent="0.35">
      <c r="A901" t="s">
        <v>2257</v>
      </c>
      <c r="B901" t="s">
        <v>385</v>
      </c>
      <c r="C901" t="s">
        <v>40</v>
      </c>
      <c r="D901" t="s">
        <v>41</v>
      </c>
      <c r="E901" t="s">
        <v>138</v>
      </c>
      <c r="F901" t="s">
        <v>139</v>
      </c>
      <c r="G901" t="s">
        <v>19</v>
      </c>
      <c r="H901">
        <v>232540</v>
      </c>
      <c r="I901">
        <v>19922.73</v>
      </c>
      <c r="J901" t="s">
        <v>47</v>
      </c>
      <c r="K901" t="s">
        <v>53</v>
      </c>
      <c r="L901">
        <v>2022</v>
      </c>
      <c r="M901" t="s">
        <v>2258</v>
      </c>
    </row>
    <row r="902" spans="1:13" x14ac:dyDescent="0.35">
      <c r="A902" t="s">
        <v>2259</v>
      </c>
      <c r="B902" t="s">
        <v>2260</v>
      </c>
      <c r="C902" t="s">
        <v>40</v>
      </c>
      <c r="D902" t="s">
        <v>41</v>
      </c>
      <c r="E902" t="s">
        <v>34</v>
      </c>
      <c r="F902" t="s">
        <v>67</v>
      </c>
      <c r="G902" t="s">
        <v>36</v>
      </c>
      <c r="H902">
        <v>168838</v>
      </c>
      <c r="I902">
        <v>17751.91</v>
      </c>
      <c r="J902" t="s">
        <v>97</v>
      </c>
      <c r="K902" t="s">
        <v>21</v>
      </c>
      <c r="L902">
        <v>2022</v>
      </c>
      <c r="M902" t="s">
        <v>1267</v>
      </c>
    </row>
    <row r="903" spans="1:13" x14ac:dyDescent="0.35">
      <c r="A903" t="s">
        <v>2261</v>
      </c>
      <c r="B903" t="s">
        <v>2262</v>
      </c>
      <c r="C903" t="s">
        <v>76</v>
      </c>
      <c r="D903" t="s">
        <v>77</v>
      </c>
      <c r="E903" t="s">
        <v>17</v>
      </c>
      <c r="F903" t="s">
        <v>18</v>
      </c>
      <c r="G903" t="s">
        <v>36</v>
      </c>
      <c r="H903">
        <v>60797</v>
      </c>
      <c r="I903">
        <v>-46475.45</v>
      </c>
      <c r="J903" t="s">
        <v>212</v>
      </c>
      <c r="K903" t="s">
        <v>53</v>
      </c>
      <c r="L903">
        <v>2021</v>
      </c>
      <c r="M903" t="s">
        <v>1208</v>
      </c>
    </row>
    <row r="904" spans="1:13" x14ac:dyDescent="0.35">
      <c r="A904" t="s">
        <v>2263</v>
      </c>
      <c r="B904" t="s">
        <v>2264</v>
      </c>
      <c r="C904" t="s">
        <v>40</v>
      </c>
      <c r="D904" t="s">
        <v>41</v>
      </c>
      <c r="E904" t="s">
        <v>34</v>
      </c>
      <c r="F904" t="s">
        <v>67</v>
      </c>
      <c r="G904" t="s">
        <v>19</v>
      </c>
      <c r="H904">
        <v>228649</v>
      </c>
      <c r="I904">
        <v>33987.33</v>
      </c>
      <c r="J904" t="s">
        <v>97</v>
      </c>
      <c r="K904" t="s">
        <v>48</v>
      </c>
      <c r="L904">
        <v>2025</v>
      </c>
      <c r="M904" t="s">
        <v>69</v>
      </c>
    </row>
    <row r="905" spans="1:13" x14ac:dyDescent="0.35">
      <c r="A905" t="s">
        <v>2265</v>
      </c>
      <c r="B905" t="s">
        <v>1263</v>
      </c>
      <c r="C905" t="s">
        <v>76</v>
      </c>
      <c r="D905" t="s">
        <v>105</v>
      </c>
      <c r="E905" t="s">
        <v>34</v>
      </c>
      <c r="F905" t="s">
        <v>58</v>
      </c>
      <c r="G905" t="s">
        <v>68</v>
      </c>
      <c r="H905">
        <v>161844</v>
      </c>
      <c r="I905">
        <v>26412.639999999999</v>
      </c>
      <c r="J905" t="s">
        <v>113</v>
      </c>
      <c r="K905" t="s">
        <v>30</v>
      </c>
      <c r="L905">
        <v>2023</v>
      </c>
      <c r="M905" t="s">
        <v>175</v>
      </c>
    </row>
    <row r="906" spans="1:13" x14ac:dyDescent="0.35">
      <c r="A906" t="s">
        <v>2266</v>
      </c>
      <c r="B906" t="s">
        <v>2267</v>
      </c>
      <c r="C906" t="s">
        <v>76</v>
      </c>
      <c r="D906" t="s">
        <v>105</v>
      </c>
      <c r="E906" t="s">
        <v>17</v>
      </c>
      <c r="F906" t="s">
        <v>72</v>
      </c>
      <c r="G906" t="s">
        <v>78</v>
      </c>
      <c r="H906">
        <v>77312</v>
      </c>
      <c r="I906">
        <v>-54311.87</v>
      </c>
      <c r="J906" t="s">
        <v>212</v>
      </c>
      <c r="K906" t="s">
        <v>30</v>
      </c>
      <c r="L906">
        <v>2021</v>
      </c>
      <c r="M906" t="s">
        <v>267</v>
      </c>
    </row>
    <row r="907" spans="1:13" x14ac:dyDescent="0.35">
      <c r="A907" t="s">
        <v>2268</v>
      </c>
      <c r="B907" t="s">
        <v>2269</v>
      </c>
      <c r="C907" t="s">
        <v>15</v>
      </c>
      <c r="D907" t="s">
        <v>57</v>
      </c>
      <c r="E907" t="s">
        <v>34</v>
      </c>
      <c r="F907" t="s">
        <v>58</v>
      </c>
      <c r="G907" t="s">
        <v>19</v>
      </c>
      <c r="H907">
        <v>282575</v>
      </c>
      <c r="I907">
        <v>19418.099999999999</v>
      </c>
      <c r="J907" t="s">
        <v>29</v>
      </c>
      <c r="K907" t="s">
        <v>53</v>
      </c>
      <c r="L907">
        <v>2022</v>
      </c>
      <c r="M907" t="s">
        <v>37</v>
      </c>
    </row>
    <row r="908" spans="1:13" x14ac:dyDescent="0.35">
      <c r="A908" t="s">
        <v>2270</v>
      </c>
      <c r="B908" t="s">
        <v>760</v>
      </c>
      <c r="C908" t="s">
        <v>15</v>
      </c>
      <c r="D908" t="s">
        <v>46</v>
      </c>
      <c r="E908" t="s">
        <v>138</v>
      </c>
      <c r="F908" t="s">
        <v>139</v>
      </c>
      <c r="G908" t="s">
        <v>36</v>
      </c>
      <c r="H908">
        <v>235634</v>
      </c>
      <c r="I908">
        <v>28146.33</v>
      </c>
      <c r="J908" t="s">
        <v>113</v>
      </c>
      <c r="K908" t="s">
        <v>53</v>
      </c>
      <c r="L908">
        <v>2021</v>
      </c>
      <c r="M908" t="s">
        <v>2271</v>
      </c>
    </row>
    <row r="909" spans="1:13" x14ac:dyDescent="0.35">
      <c r="A909" t="s">
        <v>2272</v>
      </c>
      <c r="B909" t="s">
        <v>717</v>
      </c>
      <c r="C909" t="s">
        <v>76</v>
      </c>
      <c r="D909" t="s">
        <v>171</v>
      </c>
      <c r="E909" t="s">
        <v>17</v>
      </c>
      <c r="F909" t="s">
        <v>72</v>
      </c>
      <c r="G909" t="s">
        <v>36</v>
      </c>
      <c r="H909">
        <v>187928</v>
      </c>
      <c r="I909">
        <v>-144573.89000000001</v>
      </c>
      <c r="J909" t="s">
        <v>47</v>
      </c>
      <c r="K909" t="s">
        <v>30</v>
      </c>
      <c r="L909">
        <v>2024</v>
      </c>
      <c r="M909" t="s">
        <v>1323</v>
      </c>
    </row>
    <row r="910" spans="1:13" x14ac:dyDescent="0.35">
      <c r="A910" t="s">
        <v>2273</v>
      </c>
      <c r="B910" t="s">
        <v>1025</v>
      </c>
      <c r="C910" t="s">
        <v>15</v>
      </c>
      <c r="D910" t="s">
        <v>46</v>
      </c>
      <c r="E910" t="s">
        <v>17</v>
      </c>
      <c r="F910" t="s">
        <v>52</v>
      </c>
      <c r="G910" t="s">
        <v>19</v>
      </c>
      <c r="H910">
        <v>61983</v>
      </c>
      <c r="I910">
        <v>-56337.25</v>
      </c>
      <c r="J910" t="s">
        <v>97</v>
      </c>
      <c r="K910" t="s">
        <v>21</v>
      </c>
      <c r="L910">
        <v>2025</v>
      </c>
      <c r="M910" t="s">
        <v>300</v>
      </c>
    </row>
    <row r="911" spans="1:13" x14ac:dyDescent="0.35">
      <c r="A911" t="s">
        <v>2274</v>
      </c>
      <c r="B911" t="s">
        <v>2275</v>
      </c>
      <c r="C911" t="s">
        <v>40</v>
      </c>
      <c r="D911" t="s">
        <v>66</v>
      </c>
      <c r="E911" t="s">
        <v>34</v>
      </c>
      <c r="F911" t="s">
        <v>58</v>
      </c>
      <c r="G911" t="s">
        <v>78</v>
      </c>
      <c r="H911">
        <v>137092</v>
      </c>
      <c r="I911">
        <v>19219.13</v>
      </c>
      <c r="J911" t="s">
        <v>20</v>
      </c>
      <c r="K911" t="s">
        <v>48</v>
      </c>
      <c r="L911">
        <v>2025</v>
      </c>
      <c r="M911" t="s">
        <v>2276</v>
      </c>
    </row>
    <row r="912" spans="1:13" x14ac:dyDescent="0.35">
      <c r="A912" t="s">
        <v>2277</v>
      </c>
      <c r="B912" t="s">
        <v>2278</v>
      </c>
      <c r="C912" t="s">
        <v>25</v>
      </c>
      <c r="D912" t="s">
        <v>26</v>
      </c>
      <c r="E912" t="s">
        <v>17</v>
      </c>
      <c r="F912" t="s">
        <v>72</v>
      </c>
      <c r="G912" t="s">
        <v>19</v>
      </c>
      <c r="H912">
        <v>159002</v>
      </c>
      <c r="I912">
        <v>-150186.26</v>
      </c>
      <c r="J912" t="s">
        <v>113</v>
      </c>
      <c r="K912" t="s">
        <v>21</v>
      </c>
      <c r="L912">
        <v>2023</v>
      </c>
      <c r="M912" t="s">
        <v>1536</v>
      </c>
    </row>
    <row r="913" spans="1:13" x14ac:dyDescent="0.35">
      <c r="A913" t="s">
        <v>2279</v>
      </c>
      <c r="B913" t="s">
        <v>2280</v>
      </c>
      <c r="C913" t="s">
        <v>40</v>
      </c>
      <c r="D913" t="s">
        <v>66</v>
      </c>
      <c r="E913" t="s">
        <v>34</v>
      </c>
      <c r="F913" t="s">
        <v>101</v>
      </c>
      <c r="G913" t="s">
        <v>68</v>
      </c>
      <c r="H913">
        <v>250411</v>
      </c>
      <c r="I913">
        <v>60468.53</v>
      </c>
      <c r="J913" t="s">
        <v>113</v>
      </c>
      <c r="K913" t="s">
        <v>53</v>
      </c>
      <c r="L913">
        <v>2024</v>
      </c>
      <c r="M913" t="s">
        <v>1831</v>
      </c>
    </row>
    <row r="914" spans="1:13" x14ac:dyDescent="0.35">
      <c r="A914" t="s">
        <v>2281</v>
      </c>
      <c r="B914" t="s">
        <v>2282</v>
      </c>
      <c r="C914" t="s">
        <v>15</v>
      </c>
      <c r="D914" t="s">
        <v>57</v>
      </c>
      <c r="E914" t="s">
        <v>34</v>
      </c>
      <c r="F914" t="s">
        <v>58</v>
      </c>
      <c r="G914" t="s">
        <v>19</v>
      </c>
      <c r="H914">
        <v>157637</v>
      </c>
      <c r="I914">
        <v>18634.759999999998</v>
      </c>
      <c r="J914" t="s">
        <v>113</v>
      </c>
      <c r="K914" t="s">
        <v>53</v>
      </c>
      <c r="L914">
        <v>2025</v>
      </c>
      <c r="M914" t="s">
        <v>1229</v>
      </c>
    </row>
    <row r="915" spans="1:13" x14ac:dyDescent="0.35">
      <c r="A915" t="s">
        <v>2283</v>
      </c>
      <c r="B915" t="s">
        <v>337</v>
      </c>
      <c r="C915" t="s">
        <v>25</v>
      </c>
      <c r="D915" t="s">
        <v>26</v>
      </c>
      <c r="E915" t="s">
        <v>17</v>
      </c>
      <c r="F915" t="s">
        <v>18</v>
      </c>
      <c r="G915" t="s">
        <v>36</v>
      </c>
      <c r="H915">
        <v>180969</v>
      </c>
      <c r="I915">
        <v>-142011.51</v>
      </c>
      <c r="J915" t="s">
        <v>59</v>
      </c>
      <c r="K915" t="s">
        <v>21</v>
      </c>
      <c r="L915">
        <v>2023</v>
      </c>
      <c r="M915" t="s">
        <v>820</v>
      </c>
    </row>
    <row r="916" spans="1:13" x14ac:dyDescent="0.35">
      <c r="A916" t="s">
        <v>2284</v>
      </c>
      <c r="B916" t="s">
        <v>2285</v>
      </c>
      <c r="C916" t="s">
        <v>76</v>
      </c>
      <c r="D916" t="s">
        <v>171</v>
      </c>
      <c r="E916" t="s">
        <v>17</v>
      </c>
      <c r="F916" t="s">
        <v>112</v>
      </c>
      <c r="G916" t="s">
        <v>36</v>
      </c>
      <c r="H916">
        <v>117899</v>
      </c>
      <c r="I916">
        <v>-100710.25</v>
      </c>
      <c r="J916" t="s">
        <v>20</v>
      </c>
      <c r="K916" t="s">
        <v>53</v>
      </c>
      <c r="L916">
        <v>2023</v>
      </c>
      <c r="M916" t="s">
        <v>1411</v>
      </c>
    </row>
    <row r="917" spans="1:13" x14ac:dyDescent="0.35">
      <c r="A917" t="s">
        <v>2286</v>
      </c>
      <c r="B917" t="s">
        <v>89</v>
      </c>
      <c r="C917" t="s">
        <v>40</v>
      </c>
      <c r="D917" t="s">
        <v>41</v>
      </c>
      <c r="E917" t="s">
        <v>34</v>
      </c>
      <c r="F917" t="s">
        <v>58</v>
      </c>
      <c r="G917" t="s">
        <v>19</v>
      </c>
      <c r="H917">
        <v>204316</v>
      </c>
      <c r="I917">
        <v>31051.03</v>
      </c>
      <c r="J917" t="s">
        <v>20</v>
      </c>
      <c r="K917" t="s">
        <v>30</v>
      </c>
      <c r="L917">
        <v>2023</v>
      </c>
      <c r="M917" t="s">
        <v>2287</v>
      </c>
    </row>
    <row r="918" spans="1:13" x14ac:dyDescent="0.35">
      <c r="A918" t="s">
        <v>2288</v>
      </c>
      <c r="B918" t="s">
        <v>1582</v>
      </c>
      <c r="C918" t="s">
        <v>15</v>
      </c>
      <c r="D918" t="s">
        <v>16</v>
      </c>
      <c r="E918" t="s">
        <v>34</v>
      </c>
      <c r="F918" t="s">
        <v>67</v>
      </c>
      <c r="G918" t="s">
        <v>78</v>
      </c>
      <c r="H918">
        <v>63323</v>
      </c>
      <c r="I918">
        <v>12086.86</v>
      </c>
      <c r="J918" t="s">
        <v>212</v>
      </c>
      <c r="K918" t="s">
        <v>48</v>
      </c>
      <c r="L918">
        <v>2022</v>
      </c>
      <c r="M918" t="s">
        <v>1092</v>
      </c>
    </row>
    <row r="919" spans="1:13" x14ac:dyDescent="0.35">
      <c r="A919" t="s">
        <v>2289</v>
      </c>
      <c r="B919" t="s">
        <v>2290</v>
      </c>
      <c r="C919" t="s">
        <v>25</v>
      </c>
      <c r="D919" t="s">
        <v>149</v>
      </c>
      <c r="E919" t="s">
        <v>34</v>
      </c>
      <c r="F919" t="s">
        <v>67</v>
      </c>
      <c r="G919" t="s">
        <v>36</v>
      </c>
      <c r="H919">
        <v>270970</v>
      </c>
      <c r="I919">
        <v>31440.47</v>
      </c>
      <c r="J919" t="s">
        <v>212</v>
      </c>
      <c r="K919" t="s">
        <v>53</v>
      </c>
      <c r="L919">
        <v>2023</v>
      </c>
      <c r="M919" t="s">
        <v>2291</v>
      </c>
    </row>
    <row r="920" spans="1:13" x14ac:dyDescent="0.35">
      <c r="A920" t="s">
        <v>2292</v>
      </c>
      <c r="B920" t="s">
        <v>953</v>
      </c>
      <c r="C920" t="s">
        <v>40</v>
      </c>
      <c r="D920" t="s">
        <v>41</v>
      </c>
      <c r="E920" t="s">
        <v>17</v>
      </c>
      <c r="F920" t="s">
        <v>52</v>
      </c>
      <c r="G920" t="s">
        <v>68</v>
      </c>
      <c r="H920">
        <v>125117</v>
      </c>
      <c r="I920">
        <v>-97124.7</v>
      </c>
      <c r="J920" t="s">
        <v>47</v>
      </c>
      <c r="K920" t="s">
        <v>53</v>
      </c>
      <c r="L920">
        <v>2023</v>
      </c>
      <c r="M920" t="s">
        <v>2293</v>
      </c>
    </row>
    <row r="921" spans="1:13" x14ac:dyDescent="0.35">
      <c r="A921" t="s">
        <v>2294</v>
      </c>
      <c r="B921" t="s">
        <v>2295</v>
      </c>
      <c r="C921" t="s">
        <v>76</v>
      </c>
      <c r="D921" t="s">
        <v>77</v>
      </c>
      <c r="E921" t="s">
        <v>17</v>
      </c>
      <c r="F921" t="s">
        <v>112</v>
      </c>
      <c r="G921" t="s">
        <v>19</v>
      </c>
      <c r="H921">
        <v>105239</v>
      </c>
      <c r="I921">
        <v>-77730.3</v>
      </c>
      <c r="J921" t="s">
        <v>59</v>
      </c>
      <c r="K921" t="s">
        <v>53</v>
      </c>
      <c r="L921">
        <v>2021</v>
      </c>
      <c r="M921" t="s">
        <v>1685</v>
      </c>
    </row>
    <row r="922" spans="1:13" x14ac:dyDescent="0.35">
      <c r="A922" t="s">
        <v>2296</v>
      </c>
      <c r="B922" t="s">
        <v>2297</v>
      </c>
      <c r="C922" t="s">
        <v>25</v>
      </c>
      <c r="D922" t="s">
        <v>26</v>
      </c>
      <c r="E922" t="s">
        <v>17</v>
      </c>
      <c r="F922" t="s">
        <v>18</v>
      </c>
      <c r="G922" t="s">
        <v>36</v>
      </c>
      <c r="H922">
        <v>121392</v>
      </c>
      <c r="I922">
        <v>-93569.99</v>
      </c>
      <c r="J922" t="s">
        <v>113</v>
      </c>
      <c r="K922" t="s">
        <v>48</v>
      </c>
      <c r="L922">
        <v>2025</v>
      </c>
      <c r="M922" t="s">
        <v>2067</v>
      </c>
    </row>
    <row r="923" spans="1:13" x14ac:dyDescent="0.35">
      <c r="A923" t="s">
        <v>2298</v>
      </c>
      <c r="B923" t="s">
        <v>2299</v>
      </c>
      <c r="C923" t="s">
        <v>76</v>
      </c>
      <c r="D923" t="s">
        <v>77</v>
      </c>
      <c r="E923" t="s">
        <v>17</v>
      </c>
      <c r="F923" t="s">
        <v>42</v>
      </c>
      <c r="G923" t="s">
        <v>36</v>
      </c>
      <c r="H923">
        <v>42643</v>
      </c>
      <c r="I923">
        <v>-42186.02</v>
      </c>
      <c r="J923" t="s">
        <v>47</v>
      </c>
      <c r="K923" t="s">
        <v>21</v>
      </c>
      <c r="L923">
        <v>2023</v>
      </c>
      <c r="M923" t="s">
        <v>255</v>
      </c>
    </row>
    <row r="924" spans="1:13" x14ac:dyDescent="0.35">
      <c r="A924" t="s">
        <v>2300</v>
      </c>
      <c r="B924" t="s">
        <v>2301</v>
      </c>
      <c r="C924" t="s">
        <v>25</v>
      </c>
      <c r="D924" t="s">
        <v>83</v>
      </c>
      <c r="E924" t="s">
        <v>34</v>
      </c>
      <c r="F924" t="s">
        <v>67</v>
      </c>
      <c r="G924" t="s">
        <v>68</v>
      </c>
      <c r="H924">
        <v>287906</v>
      </c>
      <c r="I924">
        <v>58238.54</v>
      </c>
      <c r="J924" t="s">
        <v>47</v>
      </c>
      <c r="K924" t="s">
        <v>48</v>
      </c>
      <c r="L924">
        <v>2024</v>
      </c>
      <c r="M924" t="s">
        <v>2302</v>
      </c>
    </row>
    <row r="925" spans="1:13" x14ac:dyDescent="0.35">
      <c r="A925" t="s">
        <v>2303</v>
      </c>
      <c r="B925" t="s">
        <v>2304</v>
      </c>
      <c r="C925" t="s">
        <v>76</v>
      </c>
      <c r="D925" t="s">
        <v>105</v>
      </c>
      <c r="E925" t="s">
        <v>17</v>
      </c>
      <c r="F925" t="s">
        <v>18</v>
      </c>
      <c r="G925" t="s">
        <v>19</v>
      </c>
      <c r="H925">
        <v>154017</v>
      </c>
      <c r="I925">
        <v>-150954.43</v>
      </c>
      <c r="J925" t="s">
        <v>20</v>
      </c>
      <c r="K925" t="s">
        <v>21</v>
      </c>
      <c r="L925">
        <v>2022</v>
      </c>
      <c r="M925" t="s">
        <v>1839</v>
      </c>
    </row>
    <row r="926" spans="1:13" x14ac:dyDescent="0.35">
      <c r="A926" t="s">
        <v>2305</v>
      </c>
      <c r="B926" t="s">
        <v>2306</v>
      </c>
      <c r="C926" t="s">
        <v>76</v>
      </c>
      <c r="D926" t="s">
        <v>77</v>
      </c>
      <c r="E926" t="s">
        <v>34</v>
      </c>
      <c r="F926" t="s">
        <v>101</v>
      </c>
      <c r="G926" t="s">
        <v>19</v>
      </c>
      <c r="H926">
        <v>163791</v>
      </c>
      <c r="I926">
        <v>12110.13</v>
      </c>
      <c r="J926" t="s">
        <v>79</v>
      </c>
      <c r="K926" t="s">
        <v>30</v>
      </c>
      <c r="L926">
        <v>2023</v>
      </c>
      <c r="M926" t="s">
        <v>2242</v>
      </c>
    </row>
    <row r="927" spans="1:13" x14ac:dyDescent="0.35">
      <c r="A927" t="s">
        <v>2307</v>
      </c>
      <c r="B927" t="s">
        <v>2308</v>
      </c>
      <c r="C927" t="s">
        <v>40</v>
      </c>
      <c r="D927" t="s">
        <v>41</v>
      </c>
      <c r="E927" t="s">
        <v>34</v>
      </c>
      <c r="F927" t="s">
        <v>101</v>
      </c>
      <c r="G927" t="s">
        <v>19</v>
      </c>
      <c r="H927">
        <v>207698</v>
      </c>
      <c r="I927">
        <v>26881.77</v>
      </c>
      <c r="J927" t="s">
        <v>212</v>
      </c>
      <c r="K927" t="s">
        <v>48</v>
      </c>
      <c r="L927">
        <v>2021</v>
      </c>
      <c r="M927" t="s">
        <v>2309</v>
      </c>
    </row>
    <row r="928" spans="1:13" x14ac:dyDescent="0.35">
      <c r="A928" t="s">
        <v>2310</v>
      </c>
      <c r="B928" t="s">
        <v>430</v>
      </c>
      <c r="C928" t="s">
        <v>76</v>
      </c>
      <c r="D928" t="s">
        <v>171</v>
      </c>
      <c r="E928" t="s">
        <v>17</v>
      </c>
      <c r="F928" t="s">
        <v>42</v>
      </c>
      <c r="G928" t="s">
        <v>19</v>
      </c>
      <c r="H928">
        <v>140134</v>
      </c>
      <c r="I928">
        <v>-128082.08</v>
      </c>
      <c r="J928" t="s">
        <v>20</v>
      </c>
      <c r="K928" t="s">
        <v>30</v>
      </c>
      <c r="L928">
        <v>2023</v>
      </c>
      <c r="M928" t="s">
        <v>135</v>
      </c>
    </row>
    <row r="929" spans="1:13" x14ac:dyDescent="0.35">
      <c r="A929" t="s">
        <v>2311</v>
      </c>
      <c r="B929" t="s">
        <v>1812</v>
      </c>
      <c r="C929" t="s">
        <v>40</v>
      </c>
      <c r="D929" t="s">
        <v>96</v>
      </c>
      <c r="E929" t="s">
        <v>34</v>
      </c>
      <c r="F929" t="s">
        <v>35</v>
      </c>
      <c r="G929" t="s">
        <v>19</v>
      </c>
      <c r="H929">
        <v>258194</v>
      </c>
      <c r="I929">
        <v>52546.17</v>
      </c>
      <c r="J929" t="s">
        <v>79</v>
      </c>
      <c r="K929" t="s">
        <v>30</v>
      </c>
      <c r="L929">
        <v>2021</v>
      </c>
      <c r="M929" t="s">
        <v>2312</v>
      </c>
    </row>
    <row r="930" spans="1:13" x14ac:dyDescent="0.35">
      <c r="A930" t="s">
        <v>2313</v>
      </c>
      <c r="B930" t="s">
        <v>2278</v>
      </c>
      <c r="C930" t="s">
        <v>40</v>
      </c>
      <c r="D930" t="s">
        <v>41</v>
      </c>
      <c r="E930" t="s">
        <v>34</v>
      </c>
      <c r="F930" t="s">
        <v>58</v>
      </c>
      <c r="G930" t="s">
        <v>19</v>
      </c>
      <c r="H930">
        <v>65063</v>
      </c>
      <c r="I930">
        <v>8904.2999999999993</v>
      </c>
      <c r="J930" t="s">
        <v>47</v>
      </c>
      <c r="K930" t="s">
        <v>21</v>
      </c>
      <c r="L930">
        <v>2023</v>
      </c>
      <c r="M930" t="s">
        <v>2314</v>
      </c>
    </row>
    <row r="931" spans="1:13" x14ac:dyDescent="0.35">
      <c r="A931" t="s">
        <v>2315</v>
      </c>
      <c r="B931" t="s">
        <v>2316</v>
      </c>
      <c r="C931" t="s">
        <v>76</v>
      </c>
      <c r="D931" t="s">
        <v>77</v>
      </c>
      <c r="E931" t="s">
        <v>17</v>
      </c>
      <c r="F931" t="s">
        <v>52</v>
      </c>
      <c r="G931" t="s">
        <v>19</v>
      </c>
      <c r="H931">
        <v>161459</v>
      </c>
      <c r="I931">
        <v>-117366.08</v>
      </c>
      <c r="J931" t="s">
        <v>113</v>
      </c>
      <c r="K931" t="s">
        <v>48</v>
      </c>
      <c r="L931">
        <v>2024</v>
      </c>
      <c r="M931" t="s">
        <v>2248</v>
      </c>
    </row>
    <row r="932" spans="1:13" x14ac:dyDescent="0.35">
      <c r="A932" t="s">
        <v>2317</v>
      </c>
      <c r="B932" t="s">
        <v>2318</v>
      </c>
      <c r="C932" t="s">
        <v>25</v>
      </c>
      <c r="D932" t="s">
        <v>149</v>
      </c>
      <c r="E932" t="s">
        <v>17</v>
      </c>
      <c r="F932" t="s">
        <v>72</v>
      </c>
      <c r="G932" t="s">
        <v>78</v>
      </c>
      <c r="H932">
        <v>181067</v>
      </c>
      <c r="I932">
        <v>-137793.15</v>
      </c>
      <c r="J932" t="s">
        <v>20</v>
      </c>
      <c r="K932" t="s">
        <v>48</v>
      </c>
      <c r="L932">
        <v>2025</v>
      </c>
      <c r="M932" t="s">
        <v>2319</v>
      </c>
    </row>
    <row r="933" spans="1:13" x14ac:dyDescent="0.35">
      <c r="A933" t="s">
        <v>2320</v>
      </c>
      <c r="B933" t="s">
        <v>1195</v>
      </c>
      <c r="C933" t="s">
        <v>15</v>
      </c>
      <c r="D933" t="s">
        <v>57</v>
      </c>
      <c r="E933" t="s">
        <v>34</v>
      </c>
      <c r="F933" t="s">
        <v>101</v>
      </c>
      <c r="G933" t="s">
        <v>78</v>
      </c>
      <c r="H933">
        <v>236875</v>
      </c>
      <c r="I933">
        <v>14345.38</v>
      </c>
      <c r="J933" t="s">
        <v>113</v>
      </c>
      <c r="K933" t="s">
        <v>30</v>
      </c>
      <c r="L933">
        <v>2024</v>
      </c>
      <c r="M933" t="s">
        <v>1938</v>
      </c>
    </row>
    <row r="934" spans="1:13" x14ac:dyDescent="0.35">
      <c r="A934" t="s">
        <v>2321</v>
      </c>
      <c r="B934" t="s">
        <v>2322</v>
      </c>
      <c r="C934" t="s">
        <v>40</v>
      </c>
      <c r="D934" t="s">
        <v>41</v>
      </c>
      <c r="E934" t="s">
        <v>17</v>
      </c>
      <c r="F934" t="s">
        <v>18</v>
      </c>
      <c r="G934" t="s">
        <v>78</v>
      </c>
      <c r="H934">
        <v>134124</v>
      </c>
      <c r="I934">
        <v>-95155.12</v>
      </c>
      <c r="J934" t="s">
        <v>212</v>
      </c>
      <c r="K934" t="s">
        <v>53</v>
      </c>
      <c r="L934">
        <v>2024</v>
      </c>
      <c r="M934" t="s">
        <v>1623</v>
      </c>
    </row>
    <row r="935" spans="1:13" x14ac:dyDescent="0.35">
      <c r="A935" t="s">
        <v>2323</v>
      </c>
      <c r="B935" t="s">
        <v>1591</v>
      </c>
      <c r="C935" t="s">
        <v>76</v>
      </c>
      <c r="D935" t="s">
        <v>105</v>
      </c>
      <c r="E935" t="s">
        <v>138</v>
      </c>
      <c r="F935" t="s">
        <v>139</v>
      </c>
      <c r="G935" t="s">
        <v>68</v>
      </c>
      <c r="H935">
        <v>166220</v>
      </c>
      <c r="I935">
        <v>14414.36</v>
      </c>
      <c r="J935" t="s">
        <v>113</v>
      </c>
      <c r="K935" t="s">
        <v>48</v>
      </c>
      <c r="L935">
        <v>2025</v>
      </c>
      <c r="M935" t="s">
        <v>2324</v>
      </c>
    </row>
    <row r="936" spans="1:13" x14ac:dyDescent="0.35">
      <c r="A936" t="s">
        <v>2325</v>
      </c>
      <c r="B936" t="s">
        <v>2326</v>
      </c>
      <c r="C936" t="s">
        <v>15</v>
      </c>
      <c r="D936" t="s">
        <v>57</v>
      </c>
      <c r="E936" t="s">
        <v>34</v>
      </c>
      <c r="F936" t="s">
        <v>35</v>
      </c>
      <c r="G936" t="s">
        <v>78</v>
      </c>
      <c r="H936">
        <v>190318</v>
      </c>
      <c r="I936">
        <v>29401.85</v>
      </c>
      <c r="J936" t="s">
        <v>20</v>
      </c>
      <c r="K936" t="s">
        <v>30</v>
      </c>
      <c r="L936">
        <v>2024</v>
      </c>
      <c r="M936" t="s">
        <v>1956</v>
      </c>
    </row>
    <row r="937" spans="1:13" x14ac:dyDescent="0.35">
      <c r="A937" t="s">
        <v>2327</v>
      </c>
      <c r="B937" t="s">
        <v>2328</v>
      </c>
      <c r="C937" t="s">
        <v>15</v>
      </c>
      <c r="D937" t="s">
        <v>16</v>
      </c>
      <c r="E937" t="s">
        <v>34</v>
      </c>
      <c r="F937" t="s">
        <v>101</v>
      </c>
      <c r="G937" t="s">
        <v>19</v>
      </c>
      <c r="H937">
        <v>282637</v>
      </c>
      <c r="I937">
        <v>25046.92</v>
      </c>
      <c r="J937" t="s">
        <v>212</v>
      </c>
      <c r="K937" t="s">
        <v>53</v>
      </c>
      <c r="L937">
        <v>2024</v>
      </c>
      <c r="M937" t="s">
        <v>2329</v>
      </c>
    </row>
    <row r="938" spans="1:13" x14ac:dyDescent="0.35">
      <c r="A938" t="s">
        <v>2330</v>
      </c>
      <c r="B938" t="s">
        <v>2331</v>
      </c>
      <c r="C938" t="s">
        <v>15</v>
      </c>
      <c r="D938" t="s">
        <v>16</v>
      </c>
      <c r="E938" t="s">
        <v>17</v>
      </c>
      <c r="F938" t="s">
        <v>42</v>
      </c>
      <c r="G938" t="s">
        <v>19</v>
      </c>
      <c r="H938">
        <v>88813</v>
      </c>
      <c r="I938">
        <v>-83674.009999999995</v>
      </c>
      <c r="J938" t="s">
        <v>113</v>
      </c>
      <c r="K938" t="s">
        <v>30</v>
      </c>
      <c r="L938">
        <v>2022</v>
      </c>
      <c r="M938" t="s">
        <v>2332</v>
      </c>
    </row>
    <row r="939" spans="1:13" x14ac:dyDescent="0.35">
      <c r="A939" t="s">
        <v>2333</v>
      </c>
      <c r="B939" t="s">
        <v>2334</v>
      </c>
      <c r="C939" t="s">
        <v>25</v>
      </c>
      <c r="D939" t="s">
        <v>149</v>
      </c>
      <c r="E939" t="s">
        <v>17</v>
      </c>
      <c r="F939" t="s">
        <v>42</v>
      </c>
      <c r="G939" t="s">
        <v>68</v>
      </c>
      <c r="H939">
        <v>151981</v>
      </c>
      <c r="I939">
        <v>-150787.47</v>
      </c>
      <c r="J939" t="s">
        <v>20</v>
      </c>
      <c r="K939" t="s">
        <v>53</v>
      </c>
      <c r="L939">
        <v>2025</v>
      </c>
      <c r="M939" t="s">
        <v>1627</v>
      </c>
    </row>
    <row r="940" spans="1:13" x14ac:dyDescent="0.35">
      <c r="A940" t="s">
        <v>2335</v>
      </c>
      <c r="B940" t="s">
        <v>1646</v>
      </c>
      <c r="C940" t="s">
        <v>25</v>
      </c>
      <c r="D940" t="s">
        <v>149</v>
      </c>
      <c r="E940" t="s">
        <v>34</v>
      </c>
      <c r="F940" t="s">
        <v>35</v>
      </c>
      <c r="G940" t="s">
        <v>19</v>
      </c>
      <c r="H940">
        <v>119201</v>
      </c>
      <c r="I940">
        <v>19496.78</v>
      </c>
      <c r="J940" t="s">
        <v>20</v>
      </c>
      <c r="K940" t="s">
        <v>30</v>
      </c>
      <c r="L940">
        <v>2021</v>
      </c>
      <c r="M940" t="s">
        <v>159</v>
      </c>
    </row>
    <row r="941" spans="1:13" x14ac:dyDescent="0.35">
      <c r="A941" t="s">
        <v>2336</v>
      </c>
      <c r="B941" t="s">
        <v>2337</v>
      </c>
      <c r="C941" t="s">
        <v>76</v>
      </c>
      <c r="D941" t="s">
        <v>105</v>
      </c>
      <c r="E941" t="s">
        <v>138</v>
      </c>
      <c r="F941" t="s">
        <v>208</v>
      </c>
      <c r="G941" t="s">
        <v>36</v>
      </c>
      <c r="H941">
        <v>112075</v>
      </c>
      <c r="I941">
        <v>-6502.4</v>
      </c>
      <c r="J941" t="s">
        <v>29</v>
      </c>
      <c r="K941" t="s">
        <v>21</v>
      </c>
      <c r="L941">
        <v>2022</v>
      </c>
      <c r="M941" t="s">
        <v>2338</v>
      </c>
    </row>
    <row r="942" spans="1:13" x14ac:dyDescent="0.35">
      <c r="A942" t="s">
        <v>2339</v>
      </c>
      <c r="B942" t="s">
        <v>436</v>
      </c>
      <c r="C942" t="s">
        <v>25</v>
      </c>
      <c r="D942" t="s">
        <v>149</v>
      </c>
      <c r="E942" t="s">
        <v>34</v>
      </c>
      <c r="F942" t="s">
        <v>35</v>
      </c>
      <c r="G942" t="s">
        <v>36</v>
      </c>
      <c r="H942">
        <v>128088</v>
      </c>
      <c r="I942">
        <v>22631.759999999998</v>
      </c>
      <c r="J942" t="s">
        <v>59</v>
      </c>
      <c r="K942" t="s">
        <v>30</v>
      </c>
      <c r="L942">
        <v>2024</v>
      </c>
      <c r="M942" t="s">
        <v>2340</v>
      </c>
    </row>
    <row r="943" spans="1:13" x14ac:dyDescent="0.35">
      <c r="A943" t="s">
        <v>2341</v>
      </c>
      <c r="B943" t="s">
        <v>2342</v>
      </c>
      <c r="C943" t="s">
        <v>15</v>
      </c>
      <c r="D943" t="s">
        <v>57</v>
      </c>
      <c r="E943" t="s">
        <v>17</v>
      </c>
      <c r="F943" t="s">
        <v>18</v>
      </c>
      <c r="G943" t="s">
        <v>36</v>
      </c>
      <c r="H943">
        <v>52209</v>
      </c>
      <c r="I943">
        <v>-51062.94</v>
      </c>
      <c r="J943" t="s">
        <v>47</v>
      </c>
      <c r="K943" t="s">
        <v>21</v>
      </c>
      <c r="L943">
        <v>2022</v>
      </c>
      <c r="M943" t="s">
        <v>1376</v>
      </c>
    </row>
    <row r="944" spans="1:13" x14ac:dyDescent="0.35">
      <c r="A944" t="s">
        <v>2343</v>
      </c>
      <c r="B944" t="s">
        <v>340</v>
      </c>
      <c r="C944" t="s">
        <v>76</v>
      </c>
      <c r="D944" t="s">
        <v>77</v>
      </c>
      <c r="E944" t="s">
        <v>17</v>
      </c>
      <c r="F944" t="s">
        <v>18</v>
      </c>
      <c r="G944" t="s">
        <v>78</v>
      </c>
      <c r="H944">
        <v>27779</v>
      </c>
      <c r="I944">
        <v>-26546.58</v>
      </c>
      <c r="J944" t="s">
        <v>79</v>
      </c>
      <c r="K944" t="s">
        <v>53</v>
      </c>
      <c r="L944">
        <v>2022</v>
      </c>
      <c r="M944" t="s">
        <v>747</v>
      </c>
    </row>
    <row r="945" spans="1:13" x14ac:dyDescent="0.35">
      <c r="A945" t="s">
        <v>2344</v>
      </c>
      <c r="B945" t="s">
        <v>1897</v>
      </c>
      <c r="C945" t="s">
        <v>40</v>
      </c>
      <c r="D945" t="s">
        <v>66</v>
      </c>
      <c r="E945" t="s">
        <v>17</v>
      </c>
      <c r="F945" t="s">
        <v>112</v>
      </c>
      <c r="G945" t="s">
        <v>19</v>
      </c>
      <c r="H945">
        <v>87535</v>
      </c>
      <c r="I945">
        <v>-64439.61</v>
      </c>
      <c r="J945" t="s">
        <v>47</v>
      </c>
      <c r="K945" t="s">
        <v>21</v>
      </c>
      <c r="L945">
        <v>2021</v>
      </c>
      <c r="M945" t="s">
        <v>228</v>
      </c>
    </row>
    <row r="946" spans="1:13" x14ac:dyDescent="0.35">
      <c r="A946" t="s">
        <v>2345</v>
      </c>
      <c r="B946" t="s">
        <v>2346</v>
      </c>
      <c r="C946" t="s">
        <v>15</v>
      </c>
      <c r="D946" t="s">
        <v>57</v>
      </c>
      <c r="E946" t="s">
        <v>138</v>
      </c>
      <c r="F946" t="s">
        <v>139</v>
      </c>
      <c r="G946" t="s">
        <v>78</v>
      </c>
      <c r="H946">
        <v>92627</v>
      </c>
      <c r="I946">
        <v>18415.310000000001</v>
      </c>
      <c r="J946" t="s">
        <v>212</v>
      </c>
      <c r="K946" t="s">
        <v>53</v>
      </c>
      <c r="L946">
        <v>2023</v>
      </c>
      <c r="M946" t="s">
        <v>2069</v>
      </c>
    </row>
    <row r="947" spans="1:13" x14ac:dyDescent="0.35">
      <c r="A947" t="s">
        <v>2347</v>
      </c>
      <c r="B947" t="s">
        <v>2348</v>
      </c>
      <c r="C947" t="s">
        <v>40</v>
      </c>
      <c r="D947" t="s">
        <v>66</v>
      </c>
      <c r="E947" t="s">
        <v>17</v>
      </c>
      <c r="F947" t="s">
        <v>18</v>
      </c>
      <c r="G947" t="s">
        <v>68</v>
      </c>
      <c r="H947">
        <v>161610</v>
      </c>
      <c r="I947">
        <v>-123014.26</v>
      </c>
      <c r="J947" t="s">
        <v>212</v>
      </c>
      <c r="K947" t="s">
        <v>30</v>
      </c>
      <c r="L947">
        <v>2023</v>
      </c>
      <c r="M947" t="s">
        <v>201</v>
      </c>
    </row>
    <row r="948" spans="1:13" x14ac:dyDescent="0.35">
      <c r="A948" t="s">
        <v>2349</v>
      </c>
      <c r="B948" t="s">
        <v>2350</v>
      </c>
      <c r="C948" t="s">
        <v>40</v>
      </c>
      <c r="D948" t="s">
        <v>96</v>
      </c>
      <c r="E948" t="s">
        <v>17</v>
      </c>
      <c r="F948" t="s">
        <v>112</v>
      </c>
      <c r="G948" t="s">
        <v>78</v>
      </c>
      <c r="H948">
        <v>91886</v>
      </c>
      <c r="I948">
        <v>-85832.95</v>
      </c>
      <c r="J948" t="s">
        <v>79</v>
      </c>
      <c r="K948" t="s">
        <v>30</v>
      </c>
      <c r="L948">
        <v>2025</v>
      </c>
      <c r="M948" t="s">
        <v>850</v>
      </c>
    </row>
    <row r="949" spans="1:13" x14ac:dyDescent="0.35">
      <c r="A949" t="s">
        <v>2351</v>
      </c>
      <c r="B949" t="s">
        <v>2352</v>
      </c>
      <c r="C949" t="s">
        <v>25</v>
      </c>
      <c r="D949" t="s">
        <v>83</v>
      </c>
      <c r="E949" t="s">
        <v>34</v>
      </c>
      <c r="F949" t="s">
        <v>67</v>
      </c>
      <c r="G949" t="s">
        <v>19</v>
      </c>
      <c r="H949">
        <v>54169</v>
      </c>
      <c r="I949">
        <v>8102.86</v>
      </c>
      <c r="J949" t="s">
        <v>97</v>
      </c>
      <c r="K949" t="s">
        <v>48</v>
      </c>
      <c r="L949">
        <v>2025</v>
      </c>
      <c r="M949" t="s">
        <v>897</v>
      </c>
    </row>
    <row r="950" spans="1:13" x14ac:dyDescent="0.35">
      <c r="A950" t="s">
        <v>2353</v>
      </c>
      <c r="B950" t="s">
        <v>1235</v>
      </c>
      <c r="C950" t="s">
        <v>15</v>
      </c>
      <c r="D950" t="s">
        <v>46</v>
      </c>
      <c r="E950" t="s">
        <v>17</v>
      </c>
      <c r="F950" t="s">
        <v>18</v>
      </c>
      <c r="G950" t="s">
        <v>19</v>
      </c>
      <c r="H950">
        <v>189471</v>
      </c>
      <c r="I950">
        <v>-143829.09</v>
      </c>
      <c r="J950" t="s">
        <v>212</v>
      </c>
      <c r="K950" t="s">
        <v>30</v>
      </c>
      <c r="L950">
        <v>2024</v>
      </c>
      <c r="M950" t="s">
        <v>1621</v>
      </c>
    </row>
    <row r="951" spans="1:13" x14ac:dyDescent="0.35">
      <c r="A951" t="s">
        <v>2354</v>
      </c>
      <c r="B951" t="s">
        <v>2355</v>
      </c>
      <c r="C951" t="s">
        <v>76</v>
      </c>
      <c r="D951" t="s">
        <v>77</v>
      </c>
      <c r="E951" t="s">
        <v>138</v>
      </c>
      <c r="F951" t="s">
        <v>208</v>
      </c>
      <c r="G951" t="s">
        <v>36</v>
      </c>
      <c r="H951">
        <v>43404</v>
      </c>
      <c r="I951">
        <v>-3521.61</v>
      </c>
      <c r="J951" t="s">
        <v>113</v>
      </c>
      <c r="K951" t="s">
        <v>21</v>
      </c>
      <c r="L951">
        <v>2023</v>
      </c>
      <c r="M951" t="s">
        <v>2356</v>
      </c>
    </row>
    <row r="952" spans="1:13" x14ac:dyDescent="0.35">
      <c r="A952" t="s">
        <v>2357</v>
      </c>
      <c r="B952" t="s">
        <v>2358</v>
      </c>
      <c r="C952" t="s">
        <v>25</v>
      </c>
      <c r="D952" t="s">
        <v>26</v>
      </c>
      <c r="E952" t="s">
        <v>27</v>
      </c>
      <c r="F952" t="s">
        <v>204</v>
      </c>
      <c r="G952" t="s">
        <v>19</v>
      </c>
      <c r="H952">
        <v>420139</v>
      </c>
      <c r="I952">
        <v>22863.34</v>
      </c>
      <c r="J952" t="s">
        <v>29</v>
      </c>
      <c r="K952" t="s">
        <v>53</v>
      </c>
      <c r="L952">
        <v>2022</v>
      </c>
      <c r="M952" t="s">
        <v>1432</v>
      </c>
    </row>
    <row r="953" spans="1:13" x14ac:dyDescent="0.35">
      <c r="A953" t="s">
        <v>2359</v>
      </c>
      <c r="B953" t="s">
        <v>1845</v>
      </c>
      <c r="C953" t="s">
        <v>76</v>
      </c>
      <c r="D953" t="s">
        <v>171</v>
      </c>
      <c r="E953" t="s">
        <v>17</v>
      </c>
      <c r="F953" t="s">
        <v>42</v>
      </c>
      <c r="G953" t="s">
        <v>19</v>
      </c>
      <c r="H953">
        <v>180049</v>
      </c>
      <c r="I953">
        <v>-178262.87</v>
      </c>
      <c r="J953" t="s">
        <v>79</v>
      </c>
      <c r="K953" t="s">
        <v>48</v>
      </c>
      <c r="L953">
        <v>2022</v>
      </c>
      <c r="M953" t="s">
        <v>1229</v>
      </c>
    </row>
    <row r="954" spans="1:13" x14ac:dyDescent="0.35">
      <c r="A954" t="s">
        <v>2360</v>
      </c>
      <c r="B954" t="s">
        <v>2361</v>
      </c>
      <c r="C954" t="s">
        <v>25</v>
      </c>
      <c r="D954" t="s">
        <v>26</v>
      </c>
      <c r="E954" t="s">
        <v>138</v>
      </c>
      <c r="F954" t="s">
        <v>139</v>
      </c>
      <c r="G954" t="s">
        <v>19</v>
      </c>
      <c r="H954">
        <v>19475</v>
      </c>
      <c r="I954">
        <v>2302.52</v>
      </c>
      <c r="J954" t="s">
        <v>47</v>
      </c>
      <c r="K954" t="s">
        <v>30</v>
      </c>
      <c r="L954">
        <v>2021</v>
      </c>
      <c r="M954" t="s">
        <v>193</v>
      </c>
    </row>
    <row r="955" spans="1:13" x14ac:dyDescent="0.35">
      <c r="A955" t="s">
        <v>2362</v>
      </c>
      <c r="B955" t="s">
        <v>2363</v>
      </c>
      <c r="C955" t="s">
        <v>76</v>
      </c>
      <c r="D955" t="s">
        <v>77</v>
      </c>
      <c r="E955" t="s">
        <v>34</v>
      </c>
      <c r="F955" t="s">
        <v>67</v>
      </c>
      <c r="G955" t="s">
        <v>36</v>
      </c>
      <c r="H955">
        <v>30735</v>
      </c>
      <c r="I955">
        <v>6112.7</v>
      </c>
      <c r="J955" t="s">
        <v>29</v>
      </c>
      <c r="K955" t="s">
        <v>21</v>
      </c>
      <c r="L955">
        <v>2025</v>
      </c>
      <c r="M955" t="s">
        <v>2364</v>
      </c>
    </row>
    <row r="956" spans="1:13" x14ac:dyDescent="0.35">
      <c r="A956" t="s">
        <v>2365</v>
      </c>
      <c r="B956" t="s">
        <v>2366</v>
      </c>
      <c r="C956" t="s">
        <v>76</v>
      </c>
      <c r="D956" t="s">
        <v>105</v>
      </c>
      <c r="E956" t="s">
        <v>34</v>
      </c>
      <c r="F956" t="s">
        <v>67</v>
      </c>
      <c r="G956" t="s">
        <v>19</v>
      </c>
      <c r="H956">
        <v>136245</v>
      </c>
      <c r="I956">
        <v>13579.35</v>
      </c>
      <c r="J956" t="s">
        <v>20</v>
      </c>
      <c r="K956" t="s">
        <v>53</v>
      </c>
      <c r="L956">
        <v>2023</v>
      </c>
      <c r="M956" t="s">
        <v>1900</v>
      </c>
    </row>
    <row r="957" spans="1:13" x14ac:dyDescent="0.35">
      <c r="A957" t="s">
        <v>2367</v>
      </c>
      <c r="B957" t="s">
        <v>535</v>
      </c>
      <c r="C957" t="s">
        <v>25</v>
      </c>
      <c r="D957" t="s">
        <v>26</v>
      </c>
      <c r="E957" t="s">
        <v>17</v>
      </c>
      <c r="F957" t="s">
        <v>42</v>
      </c>
      <c r="G957" t="s">
        <v>19</v>
      </c>
      <c r="H957">
        <v>32619</v>
      </c>
      <c r="I957">
        <v>-28212.98</v>
      </c>
      <c r="J957" t="s">
        <v>20</v>
      </c>
      <c r="K957" t="s">
        <v>48</v>
      </c>
      <c r="L957">
        <v>2024</v>
      </c>
      <c r="M957" t="s">
        <v>1242</v>
      </c>
    </row>
    <row r="958" spans="1:13" x14ac:dyDescent="0.35">
      <c r="A958" t="s">
        <v>2368</v>
      </c>
      <c r="B958" t="s">
        <v>2369</v>
      </c>
      <c r="C958" t="s">
        <v>76</v>
      </c>
      <c r="D958" t="s">
        <v>171</v>
      </c>
      <c r="E958" t="s">
        <v>34</v>
      </c>
      <c r="F958" t="s">
        <v>58</v>
      </c>
      <c r="G958" t="s">
        <v>78</v>
      </c>
      <c r="H958">
        <v>249298</v>
      </c>
      <c r="I958">
        <v>31937.45</v>
      </c>
      <c r="J958" t="s">
        <v>59</v>
      </c>
      <c r="K958" t="s">
        <v>21</v>
      </c>
      <c r="L958">
        <v>2024</v>
      </c>
      <c r="M958" t="s">
        <v>913</v>
      </c>
    </row>
    <row r="959" spans="1:13" x14ac:dyDescent="0.35">
      <c r="A959" t="s">
        <v>2370</v>
      </c>
      <c r="B959" t="s">
        <v>1914</v>
      </c>
      <c r="C959" t="s">
        <v>25</v>
      </c>
      <c r="D959" t="s">
        <v>83</v>
      </c>
      <c r="E959" t="s">
        <v>17</v>
      </c>
      <c r="F959" t="s">
        <v>72</v>
      </c>
      <c r="G959" t="s">
        <v>19</v>
      </c>
      <c r="H959">
        <v>83406</v>
      </c>
      <c r="I959">
        <v>-66364.149999999994</v>
      </c>
      <c r="J959" t="s">
        <v>47</v>
      </c>
      <c r="K959" t="s">
        <v>48</v>
      </c>
      <c r="L959">
        <v>2021</v>
      </c>
      <c r="M959" t="s">
        <v>2371</v>
      </c>
    </row>
    <row r="960" spans="1:13" x14ac:dyDescent="0.35">
      <c r="A960" t="s">
        <v>2372</v>
      </c>
      <c r="B960" t="s">
        <v>2373</v>
      </c>
      <c r="C960" t="s">
        <v>25</v>
      </c>
      <c r="D960" t="s">
        <v>83</v>
      </c>
      <c r="E960" t="s">
        <v>17</v>
      </c>
      <c r="F960" t="s">
        <v>112</v>
      </c>
      <c r="G960" t="s">
        <v>36</v>
      </c>
      <c r="H960">
        <v>166693</v>
      </c>
      <c r="I960">
        <v>-163686.66</v>
      </c>
      <c r="J960" t="s">
        <v>97</v>
      </c>
      <c r="K960" t="s">
        <v>53</v>
      </c>
      <c r="L960">
        <v>2021</v>
      </c>
      <c r="M960" t="s">
        <v>960</v>
      </c>
    </row>
    <row r="961" spans="1:13" x14ac:dyDescent="0.35">
      <c r="A961" t="s">
        <v>2374</v>
      </c>
      <c r="B961" t="s">
        <v>2375</v>
      </c>
      <c r="C961" t="s">
        <v>40</v>
      </c>
      <c r="D961" t="s">
        <v>96</v>
      </c>
      <c r="E961" t="s">
        <v>34</v>
      </c>
      <c r="F961" t="s">
        <v>67</v>
      </c>
      <c r="G961" t="s">
        <v>36</v>
      </c>
      <c r="H961">
        <v>131506</v>
      </c>
      <c r="I961">
        <v>26706.3</v>
      </c>
      <c r="J961" t="s">
        <v>97</v>
      </c>
      <c r="K961" t="s">
        <v>21</v>
      </c>
      <c r="L961">
        <v>2021</v>
      </c>
      <c r="M961" t="s">
        <v>2376</v>
      </c>
    </row>
    <row r="962" spans="1:13" x14ac:dyDescent="0.35">
      <c r="A962" t="s">
        <v>2377</v>
      </c>
      <c r="B962" t="s">
        <v>2378</v>
      </c>
      <c r="C962" t="s">
        <v>40</v>
      </c>
      <c r="D962" t="s">
        <v>96</v>
      </c>
      <c r="E962" t="s">
        <v>34</v>
      </c>
      <c r="F962" t="s">
        <v>67</v>
      </c>
      <c r="G962" t="s">
        <v>68</v>
      </c>
      <c r="H962">
        <v>127225</v>
      </c>
      <c r="I962">
        <v>15237.66</v>
      </c>
      <c r="J962" t="s">
        <v>79</v>
      </c>
      <c r="K962" t="s">
        <v>48</v>
      </c>
      <c r="L962">
        <v>2021</v>
      </c>
      <c r="M962" t="s">
        <v>1621</v>
      </c>
    </row>
    <row r="963" spans="1:13" x14ac:dyDescent="0.35">
      <c r="A963" t="s">
        <v>2379</v>
      </c>
      <c r="B963" t="s">
        <v>840</v>
      </c>
      <c r="C963" t="s">
        <v>25</v>
      </c>
      <c r="D963" t="s">
        <v>83</v>
      </c>
      <c r="E963" t="s">
        <v>34</v>
      </c>
      <c r="F963" t="s">
        <v>67</v>
      </c>
      <c r="G963" t="s">
        <v>19</v>
      </c>
      <c r="H963">
        <v>64560</v>
      </c>
      <c r="I963">
        <v>3286.43</v>
      </c>
      <c r="J963" t="s">
        <v>59</v>
      </c>
      <c r="K963" t="s">
        <v>30</v>
      </c>
      <c r="L963">
        <v>2022</v>
      </c>
      <c r="M963" t="s">
        <v>2380</v>
      </c>
    </row>
    <row r="964" spans="1:13" x14ac:dyDescent="0.35">
      <c r="A964" t="s">
        <v>2381</v>
      </c>
      <c r="B964" t="s">
        <v>2382</v>
      </c>
      <c r="C964" t="s">
        <v>15</v>
      </c>
      <c r="D964" t="s">
        <v>46</v>
      </c>
      <c r="E964" t="s">
        <v>17</v>
      </c>
      <c r="F964" t="s">
        <v>18</v>
      </c>
      <c r="G964" t="s">
        <v>19</v>
      </c>
      <c r="H964">
        <v>95000</v>
      </c>
      <c r="I964">
        <v>-83421.05</v>
      </c>
      <c r="J964" t="s">
        <v>97</v>
      </c>
      <c r="K964" t="s">
        <v>21</v>
      </c>
      <c r="L964">
        <v>2021</v>
      </c>
      <c r="M964" t="s">
        <v>2383</v>
      </c>
    </row>
    <row r="965" spans="1:13" x14ac:dyDescent="0.35">
      <c r="A965" t="s">
        <v>2384</v>
      </c>
      <c r="B965" t="s">
        <v>215</v>
      </c>
      <c r="C965" t="s">
        <v>25</v>
      </c>
      <c r="D965" t="s">
        <v>149</v>
      </c>
      <c r="E965" t="s">
        <v>34</v>
      </c>
      <c r="F965" t="s">
        <v>35</v>
      </c>
      <c r="G965" t="s">
        <v>19</v>
      </c>
      <c r="H965">
        <v>105028</v>
      </c>
      <c r="I965">
        <v>19776.060000000001</v>
      </c>
      <c r="J965" t="s">
        <v>20</v>
      </c>
      <c r="K965" t="s">
        <v>21</v>
      </c>
      <c r="L965">
        <v>2021</v>
      </c>
      <c r="M965" t="s">
        <v>823</v>
      </c>
    </row>
    <row r="966" spans="1:13" x14ac:dyDescent="0.35">
      <c r="A966" t="s">
        <v>2385</v>
      </c>
      <c r="B966" t="s">
        <v>1930</v>
      </c>
      <c r="C966" t="s">
        <v>40</v>
      </c>
      <c r="D966" t="s">
        <v>66</v>
      </c>
      <c r="E966" t="s">
        <v>34</v>
      </c>
      <c r="F966" t="s">
        <v>101</v>
      </c>
      <c r="G966" t="s">
        <v>78</v>
      </c>
      <c r="H966">
        <v>230005</v>
      </c>
      <c r="I966">
        <v>25773.5</v>
      </c>
      <c r="J966" t="s">
        <v>97</v>
      </c>
      <c r="K966" t="s">
        <v>48</v>
      </c>
      <c r="L966">
        <v>2021</v>
      </c>
      <c r="M966" t="s">
        <v>2238</v>
      </c>
    </row>
    <row r="967" spans="1:13" x14ac:dyDescent="0.35">
      <c r="A967" t="s">
        <v>2386</v>
      </c>
      <c r="B967" t="s">
        <v>2387</v>
      </c>
      <c r="C967" t="s">
        <v>76</v>
      </c>
      <c r="D967" t="s">
        <v>77</v>
      </c>
      <c r="E967" t="s">
        <v>34</v>
      </c>
      <c r="F967" t="s">
        <v>58</v>
      </c>
      <c r="G967" t="s">
        <v>78</v>
      </c>
      <c r="H967">
        <v>91179</v>
      </c>
      <c r="I967">
        <v>14921.93</v>
      </c>
      <c r="J967" t="s">
        <v>97</v>
      </c>
      <c r="K967" t="s">
        <v>48</v>
      </c>
      <c r="L967">
        <v>2022</v>
      </c>
      <c r="M967" t="s">
        <v>1464</v>
      </c>
    </row>
    <row r="968" spans="1:13" x14ac:dyDescent="0.35">
      <c r="A968" t="s">
        <v>2388</v>
      </c>
      <c r="B968" t="s">
        <v>2389</v>
      </c>
      <c r="C968" t="s">
        <v>15</v>
      </c>
      <c r="D968" t="s">
        <v>46</v>
      </c>
      <c r="E968" t="s">
        <v>17</v>
      </c>
      <c r="F968" t="s">
        <v>42</v>
      </c>
      <c r="G968" t="s">
        <v>78</v>
      </c>
      <c r="H968">
        <v>32702</v>
      </c>
      <c r="I968">
        <v>-25189.4</v>
      </c>
      <c r="J968" t="s">
        <v>97</v>
      </c>
      <c r="K968" t="s">
        <v>21</v>
      </c>
      <c r="L968">
        <v>2021</v>
      </c>
      <c r="M968" t="s">
        <v>2390</v>
      </c>
    </row>
    <row r="969" spans="1:13" x14ac:dyDescent="0.35">
      <c r="A969" t="s">
        <v>2391</v>
      </c>
      <c r="B969" t="s">
        <v>2392</v>
      </c>
      <c r="C969" t="s">
        <v>25</v>
      </c>
      <c r="D969" t="s">
        <v>26</v>
      </c>
      <c r="E969" t="s">
        <v>34</v>
      </c>
      <c r="F969" t="s">
        <v>101</v>
      </c>
      <c r="G969" t="s">
        <v>36</v>
      </c>
      <c r="H969">
        <v>223480</v>
      </c>
      <c r="I969">
        <v>22126.36</v>
      </c>
      <c r="J969" t="s">
        <v>79</v>
      </c>
      <c r="K969" t="s">
        <v>53</v>
      </c>
      <c r="L969">
        <v>2024</v>
      </c>
      <c r="M969" t="s">
        <v>2393</v>
      </c>
    </row>
    <row r="970" spans="1:13" x14ac:dyDescent="0.35">
      <c r="A970" t="s">
        <v>2394</v>
      </c>
      <c r="B970" t="s">
        <v>299</v>
      </c>
      <c r="C970" t="s">
        <v>76</v>
      </c>
      <c r="D970" t="s">
        <v>77</v>
      </c>
      <c r="E970" t="s">
        <v>34</v>
      </c>
      <c r="F970" t="s">
        <v>67</v>
      </c>
      <c r="G970" t="s">
        <v>68</v>
      </c>
      <c r="H970">
        <v>205645</v>
      </c>
      <c r="I970">
        <v>30610.9</v>
      </c>
      <c r="J970" t="s">
        <v>20</v>
      </c>
      <c r="K970" t="s">
        <v>48</v>
      </c>
      <c r="L970">
        <v>2024</v>
      </c>
      <c r="M970" t="s">
        <v>2198</v>
      </c>
    </row>
    <row r="971" spans="1:13" x14ac:dyDescent="0.35">
      <c r="A971" t="s">
        <v>2395</v>
      </c>
      <c r="B971" t="s">
        <v>2253</v>
      </c>
      <c r="C971" t="s">
        <v>40</v>
      </c>
      <c r="D971" t="s">
        <v>66</v>
      </c>
      <c r="E971" t="s">
        <v>34</v>
      </c>
      <c r="F971" t="s">
        <v>35</v>
      </c>
      <c r="G971" t="s">
        <v>36</v>
      </c>
      <c r="H971">
        <v>250044</v>
      </c>
      <c r="I971">
        <v>15941.46</v>
      </c>
      <c r="J971" t="s">
        <v>79</v>
      </c>
      <c r="K971" t="s">
        <v>48</v>
      </c>
      <c r="L971">
        <v>2021</v>
      </c>
      <c r="M971" t="s">
        <v>80</v>
      </c>
    </row>
    <row r="972" spans="1:13" x14ac:dyDescent="0.35">
      <c r="A972" t="s">
        <v>2396</v>
      </c>
      <c r="B972" t="s">
        <v>2397</v>
      </c>
      <c r="C972" t="s">
        <v>25</v>
      </c>
      <c r="D972" t="s">
        <v>83</v>
      </c>
      <c r="E972" t="s">
        <v>17</v>
      </c>
      <c r="F972" t="s">
        <v>18</v>
      </c>
      <c r="G972" t="s">
        <v>78</v>
      </c>
      <c r="H972">
        <v>70521</v>
      </c>
      <c r="I972">
        <v>-62276.83</v>
      </c>
      <c r="J972" t="s">
        <v>20</v>
      </c>
      <c r="K972" t="s">
        <v>53</v>
      </c>
      <c r="L972">
        <v>2025</v>
      </c>
      <c r="M972" t="s">
        <v>2398</v>
      </c>
    </row>
    <row r="973" spans="1:13" x14ac:dyDescent="0.35">
      <c r="A973" t="s">
        <v>2399</v>
      </c>
      <c r="B973" t="s">
        <v>2400</v>
      </c>
      <c r="C973" t="s">
        <v>15</v>
      </c>
      <c r="D973" t="s">
        <v>57</v>
      </c>
      <c r="E973" t="s">
        <v>34</v>
      </c>
      <c r="F973" t="s">
        <v>58</v>
      </c>
      <c r="G973" t="s">
        <v>36</v>
      </c>
      <c r="H973">
        <v>180722</v>
      </c>
      <c r="I973">
        <v>11410.82</v>
      </c>
      <c r="J973" t="s">
        <v>59</v>
      </c>
      <c r="K973" t="s">
        <v>48</v>
      </c>
      <c r="L973">
        <v>2022</v>
      </c>
      <c r="M973" t="s">
        <v>470</v>
      </c>
    </row>
    <row r="974" spans="1:13" x14ac:dyDescent="0.35">
      <c r="A974" t="s">
        <v>2401</v>
      </c>
      <c r="B974" t="s">
        <v>2402</v>
      </c>
      <c r="C974" t="s">
        <v>40</v>
      </c>
      <c r="D974" t="s">
        <v>96</v>
      </c>
      <c r="E974" t="s">
        <v>17</v>
      </c>
      <c r="F974" t="s">
        <v>42</v>
      </c>
      <c r="G974" t="s">
        <v>36</v>
      </c>
      <c r="H974">
        <v>21529</v>
      </c>
      <c r="I974">
        <v>-17291.46</v>
      </c>
      <c r="J974" t="s">
        <v>97</v>
      </c>
      <c r="K974" t="s">
        <v>53</v>
      </c>
      <c r="L974">
        <v>2023</v>
      </c>
      <c r="M974" t="s">
        <v>320</v>
      </c>
    </row>
    <row r="975" spans="1:13" x14ac:dyDescent="0.35">
      <c r="A975" t="s">
        <v>2403</v>
      </c>
      <c r="B975" t="s">
        <v>2404</v>
      </c>
      <c r="C975" t="s">
        <v>25</v>
      </c>
      <c r="D975" t="s">
        <v>149</v>
      </c>
      <c r="E975" t="s">
        <v>17</v>
      </c>
      <c r="F975" t="s">
        <v>52</v>
      </c>
      <c r="G975" t="s">
        <v>78</v>
      </c>
      <c r="H975">
        <v>146737</v>
      </c>
      <c r="I975">
        <v>-105770.11</v>
      </c>
      <c r="J975" t="s">
        <v>97</v>
      </c>
      <c r="K975" t="s">
        <v>48</v>
      </c>
      <c r="L975">
        <v>2023</v>
      </c>
      <c r="M975" t="s">
        <v>2208</v>
      </c>
    </row>
    <row r="976" spans="1:13" x14ac:dyDescent="0.35">
      <c r="A976" t="s">
        <v>2405</v>
      </c>
      <c r="B976" t="s">
        <v>2406</v>
      </c>
      <c r="C976" t="s">
        <v>15</v>
      </c>
      <c r="D976" t="s">
        <v>57</v>
      </c>
      <c r="E976" t="s">
        <v>17</v>
      </c>
      <c r="F976" t="s">
        <v>72</v>
      </c>
      <c r="G976" t="s">
        <v>36</v>
      </c>
      <c r="H976">
        <v>73792</v>
      </c>
      <c r="I976">
        <v>-62937.440000000002</v>
      </c>
      <c r="J976" t="s">
        <v>97</v>
      </c>
      <c r="K976" t="s">
        <v>53</v>
      </c>
      <c r="L976">
        <v>2021</v>
      </c>
      <c r="M976" t="s">
        <v>2178</v>
      </c>
    </row>
    <row r="977" spans="1:13" x14ac:dyDescent="0.35">
      <c r="A977" t="s">
        <v>2407</v>
      </c>
      <c r="B977" t="s">
        <v>953</v>
      </c>
      <c r="C977" t="s">
        <v>76</v>
      </c>
      <c r="D977" t="s">
        <v>77</v>
      </c>
      <c r="E977" t="s">
        <v>34</v>
      </c>
      <c r="F977" t="s">
        <v>101</v>
      </c>
      <c r="G977" t="s">
        <v>78</v>
      </c>
      <c r="H977">
        <v>184620</v>
      </c>
      <c r="I977">
        <v>22101.18</v>
      </c>
      <c r="J977" t="s">
        <v>79</v>
      </c>
      <c r="K977" t="s">
        <v>53</v>
      </c>
      <c r="L977">
        <v>2023</v>
      </c>
      <c r="M977" t="s">
        <v>1839</v>
      </c>
    </row>
    <row r="978" spans="1:13" x14ac:dyDescent="0.35">
      <c r="A978" t="s">
        <v>2408</v>
      </c>
      <c r="B978" t="s">
        <v>2409</v>
      </c>
      <c r="C978" t="s">
        <v>40</v>
      </c>
      <c r="D978" t="s">
        <v>96</v>
      </c>
      <c r="E978" t="s">
        <v>34</v>
      </c>
      <c r="F978" t="s">
        <v>58</v>
      </c>
      <c r="G978" t="s">
        <v>36</v>
      </c>
      <c r="H978">
        <v>208650</v>
      </c>
      <c r="I978">
        <v>26339.33</v>
      </c>
      <c r="J978" t="s">
        <v>212</v>
      </c>
      <c r="K978" t="s">
        <v>30</v>
      </c>
      <c r="L978">
        <v>2022</v>
      </c>
      <c r="M978" t="s">
        <v>1580</v>
      </c>
    </row>
    <row r="979" spans="1:13" x14ac:dyDescent="0.35">
      <c r="A979" t="s">
        <v>2410</v>
      </c>
      <c r="B979" t="s">
        <v>2411</v>
      </c>
      <c r="C979" t="s">
        <v>25</v>
      </c>
      <c r="D979" t="s">
        <v>26</v>
      </c>
      <c r="E979" t="s">
        <v>17</v>
      </c>
      <c r="F979" t="s">
        <v>42</v>
      </c>
      <c r="G979" t="s">
        <v>19</v>
      </c>
      <c r="H979">
        <v>28260</v>
      </c>
      <c r="I979">
        <v>-20242.64</v>
      </c>
      <c r="J979" t="s">
        <v>212</v>
      </c>
      <c r="K979" t="s">
        <v>30</v>
      </c>
      <c r="L979">
        <v>2025</v>
      </c>
      <c r="M979" t="s">
        <v>2412</v>
      </c>
    </row>
    <row r="980" spans="1:13" x14ac:dyDescent="0.35">
      <c r="A980" t="s">
        <v>2413</v>
      </c>
      <c r="B980" t="s">
        <v>75</v>
      </c>
      <c r="C980" t="s">
        <v>25</v>
      </c>
      <c r="D980" t="s">
        <v>26</v>
      </c>
      <c r="E980" t="s">
        <v>17</v>
      </c>
      <c r="F980" t="s">
        <v>52</v>
      </c>
      <c r="G980" t="s">
        <v>78</v>
      </c>
      <c r="H980">
        <v>26023</v>
      </c>
      <c r="I980">
        <v>-23611.37</v>
      </c>
      <c r="J980" t="s">
        <v>29</v>
      </c>
      <c r="K980" t="s">
        <v>21</v>
      </c>
      <c r="L980">
        <v>2025</v>
      </c>
      <c r="M980" t="s">
        <v>2414</v>
      </c>
    </row>
    <row r="981" spans="1:13" x14ac:dyDescent="0.35">
      <c r="A981" t="s">
        <v>2415</v>
      </c>
      <c r="B981" t="s">
        <v>2416</v>
      </c>
      <c r="C981" t="s">
        <v>40</v>
      </c>
      <c r="D981" t="s">
        <v>96</v>
      </c>
      <c r="E981" t="s">
        <v>34</v>
      </c>
      <c r="F981" t="s">
        <v>35</v>
      </c>
      <c r="G981" t="s">
        <v>36</v>
      </c>
      <c r="H981">
        <v>205352</v>
      </c>
      <c r="I981">
        <v>25951.279999999999</v>
      </c>
      <c r="J981" t="s">
        <v>20</v>
      </c>
      <c r="K981" t="s">
        <v>48</v>
      </c>
      <c r="L981">
        <v>2024</v>
      </c>
      <c r="M981" t="s">
        <v>892</v>
      </c>
    </row>
    <row r="982" spans="1:13" x14ac:dyDescent="0.35">
      <c r="A982" t="s">
        <v>2417</v>
      </c>
      <c r="B982" t="s">
        <v>2418</v>
      </c>
      <c r="C982" t="s">
        <v>40</v>
      </c>
      <c r="D982" t="s">
        <v>96</v>
      </c>
      <c r="E982" t="s">
        <v>34</v>
      </c>
      <c r="F982" t="s">
        <v>58</v>
      </c>
      <c r="G982" t="s">
        <v>36</v>
      </c>
      <c r="H982">
        <v>288851</v>
      </c>
      <c r="I982">
        <v>47891.05</v>
      </c>
      <c r="J982" t="s">
        <v>20</v>
      </c>
      <c r="K982" t="s">
        <v>53</v>
      </c>
      <c r="L982">
        <v>2021</v>
      </c>
      <c r="M982" t="s">
        <v>1264</v>
      </c>
    </row>
    <row r="983" spans="1:13" x14ac:dyDescent="0.35">
      <c r="A983" t="s">
        <v>2419</v>
      </c>
      <c r="B983" t="s">
        <v>2420</v>
      </c>
      <c r="C983" t="s">
        <v>40</v>
      </c>
      <c r="D983" t="s">
        <v>96</v>
      </c>
      <c r="E983" t="s">
        <v>34</v>
      </c>
      <c r="F983" t="s">
        <v>67</v>
      </c>
      <c r="G983" t="s">
        <v>19</v>
      </c>
      <c r="H983">
        <v>103191</v>
      </c>
      <c r="I983">
        <v>13432.59</v>
      </c>
      <c r="J983" t="s">
        <v>59</v>
      </c>
      <c r="K983" t="s">
        <v>30</v>
      </c>
      <c r="L983">
        <v>2025</v>
      </c>
      <c r="M983" t="s">
        <v>1564</v>
      </c>
    </row>
    <row r="984" spans="1:13" x14ac:dyDescent="0.35">
      <c r="A984" t="s">
        <v>2421</v>
      </c>
      <c r="B984" t="s">
        <v>2422</v>
      </c>
      <c r="C984" t="s">
        <v>25</v>
      </c>
      <c r="D984" t="s">
        <v>26</v>
      </c>
      <c r="E984" t="s">
        <v>27</v>
      </c>
      <c r="F984" t="s">
        <v>204</v>
      </c>
      <c r="G984" t="s">
        <v>36</v>
      </c>
      <c r="H984">
        <v>685222</v>
      </c>
      <c r="I984">
        <v>89981</v>
      </c>
      <c r="J984" t="s">
        <v>47</v>
      </c>
      <c r="K984" t="s">
        <v>53</v>
      </c>
      <c r="L984">
        <v>2022</v>
      </c>
      <c r="M984" t="s">
        <v>2215</v>
      </c>
    </row>
    <row r="985" spans="1:13" x14ac:dyDescent="0.35">
      <c r="A985" t="s">
        <v>2423</v>
      </c>
      <c r="B985" t="s">
        <v>2424</v>
      </c>
      <c r="C985" t="s">
        <v>40</v>
      </c>
      <c r="D985" t="s">
        <v>41</v>
      </c>
      <c r="E985" t="s">
        <v>34</v>
      </c>
      <c r="F985" t="s">
        <v>58</v>
      </c>
      <c r="G985" t="s">
        <v>19</v>
      </c>
      <c r="H985">
        <v>196564</v>
      </c>
      <c r="I985">
        <v>23706.400000000001</v>
      </c>
      <c r="J985" t="s">
        <v>47</v>
      </c>
      <c r="K985" t="s">
        <v>30</v>
      </c>
      <c r="L985">
        <v>2023</v>
      </c>
      <c r="M985" t="s">
        <v>2425</v>
      </c>
    </row>
    <row r="986" spans="1:13" x14ac:dyDescent="0.35">
      <c r="A986" t="s">
        <v>2426</v>
      </c>
      <c r="B986" t="s">
        <v>299</v>
      </c>
      <c r="C986" t="s">
        <v>76</v>
      </c>
      <c r="D986" t="s">
        <v>105</v>
      </c>
      <c r="E986" t="s">
        <v>34</v>
      </c>
      <c r="F986" t="s">
        <v>67</v>
      </c>
      <c r="G986" t="s">
        <v>19</v>
      </c>
      <c r="H986">
        <v>253096</v>
      </c>
      <c r="I986">
        <v>22789.38</v>
      </c>
      <c r="J986" t="s">
        <v>47</v>
      </c>
      <c r="K986" t="s">
        <v>48</v>
      </c>
      <c r="L986">
        <v>2024</v>
      </c>
      <c r="M986" t="s">
        <v>2427</v>
      </c>
    </row>
    <row r="987" spans="1:13" x14ac:dyDescent="0.35">
      <c r="A987" t="s">
        <v>2428</v>
      </c>
      <c r="B987" t="s">
        <v>2429</v>
      </c>
      <c r="C987" t="s">
        <v>76</v>
      </c>
      <c r="D987" t="s">
        <v>105</v>
      </c>
      <c r="E987" t="s">
        <v>34</v>
      </c>
      <c r="F987" t="s">
        <v>35</v>
      </c>
      <c r="G987" t="s">
        <v>19</v>
      </c>
      <c r="H987">
        <v>121712</v>
      </c>
      <c r="I987">
        <v>26454.13</v>
      </c>
      <c r="J987" t="s">
        <v>20</v>
      </c>
      <c r="K987" t="s">
        <v>21</v>
      </c>
      <c r="L987">
        <v>2024</v>
      </c>
      <c r="M987" t="s">
        <v>740</v>
      </c>
    </row>
    <row r="988" spans="1:13" x14ac:dyDescent="0.35">
      <c r="A988" t="s">
        <v>2430</v>
      </c>
      <c r="B988" t="s">
        <v>2431</v>
      </c>
      <c r="C988" t="s">
        <v>40</v>
      </c>
      <c r="D988" t="s">
        <v>96</v>
      </c>
      <c r="E988" t="s">
        <v>17</v>
      </c>
      <c r="F988" t="s">
        <v>112</v>
      </c>
      <c r="G988" t="s">
        <v>78</v>
      </c>
      <c r="H988">
        <v>27428</v>
      </c>
      <c r="I988">
        <v>-24425.59</v>
      </c>
      <c r="J988" t="s">
        <v>79</v>
      </c>
      <c r="K988" t="s">
        <v>30</v>
      </c>
      <c r="L988">
        <v>2022</v>
      </c>
      <c r="M988" t="s">
        <v>954</v>
      </c>
    </row>
    <row r="989" spans="1:13" x14ac:dyDescent="0.35">
      <c r="A989" t="s">
        <v>2432</v>
      </c>
      <c r="B989" t="s">
        <v>2433</v>
      </c>
      <c r="C989" t="s">
        <v>25</v>
      </c>
      <c r="D989" t="s">
        <v>149</v>
      </c>
      <c r="E989" t="s">
        <v>34</v>
      </c>
      <c r="F989" t="s">
        <v>101</v>
      </c>
      <c r="G989" t="s">
        <v>19</v>
      </c>
      <c r="H989">
        <v>255571</v>
      </c>
      <c r="I989">
        <v>37975.94</v>
      </c>
      <c r="J989" t="s">
        <v>47</v>
      </c>
      <c r="K989" t="s">
        <v>30</v>
      </c>
      <c r="L989">
        <v>2022</v>
      </c>
      <c r="M989" t="s">
        <v>90</v>
      </c>
    </row>
    <row r="990" spans="1:13" x14ac:dyDescent="0.35">
      <c r="A990" t="s">
        <v>2434</v>
      </c>
      <c r="B990" t="s">
        <v>2397</v>
      </c>
      <c r="C990" t="s">
        <v>40</v>
      </c>
      <c r="D990" t="s">
        <v>96</v>
      </c>
      <c r="E990" t="s">
        <v>27</v>
      </c>
      <c r="F990" t="s">
        <v>204</v>
      </c>
      <c r="G990" t="s">
        <v>36</v>
      </c>
      <c r="H990">
        <v>426328</v>
      </c>
      <c r="I990">
        <v>-8023.89</v>
      </c>
      <c r="J990" t="s">
        <v>79</v>
      </c>
      <c r="K990" t="s">
        <v>53</v>
      </c>
      <c r="L990">
        <v>2025</v>
      </c>
      <c r="M990" t="s">
        <v>1295</v>
      </c>
    </row>
    <row r="991" spans="1:13" x14ac:dyDescent="0.35">
      <c r="A991" t="s">
        <v>2435</v>
      </c>
      <c r="B991" t="s">
        <v>2026</v>
      </c>
      <c r="C991" t="s">
        <v>40</v>
      </c>
      <c r="D991" t="s">
        <v>66</v>
      </c>
      <c r="E991" t="s">
        <v>17</v>
      </c>
      <c r="F991" t="s">
        <v>72</v>
      </c>
      <c r="G991" t="s">
        <v>19</v>
      </c>
      <c r="H991">
        <v>62904</v>
      </c>
      <c r="I991">
        <v>-48737.86</v>
      </c>
      <c r="J991" t="s">
        <v>97</v>
      </c>
      <c r="K991" t="s">
        <v>48</v>
      </c>
      <c r="L991">
        <v>2024</v>
      </c>
      <c r="M991" t="s">
        <v>288</v>
      </c>
    </row>
    <row r="992" spans="1:13" x14ac:dyDescent="0.35">
      <c r="A992" t="s">
        <v>2436</v>
      </c>
      <c r="B992" t="s">
        <v>2437</v>
      </c>
      <c r="C992" t="s">
        <v>25</v>
      </c>
      <c r="D992" t="s">
        <v>149</v>
      </c>
      <c r="E992" t="s">
        <v>34</v>
      </c>
      <c r="F992" t="s">
        <v>67</v>
      </c>
      <c r="G992" t="s">
        <v>78</v>
      </c>
      <c r="H992">
        <v>248313</v>
      </c>
      <c r="I992">
        <v>17787.189999999999</v>
      </c>
      <c r="J992" t="s">
        <v>59</v>
      </c>
      <c r="K992" t="s">
        <v>21</v>
      </c>
      <c r="L992">
        <v>2021</v>
      </c>
      <c r="M992" t="s">
        <v>43</v>
      </c>
    </row>
    <row r="993" spans="1:13" x14ac:dyDescent="0.35">
      <c r="A993" t="s">
        <v>2438</v>
      </c>
      <c r="B993" t="s">
        <v>775</v>
      </c>
      <c r="C993" t="s">
        <v>25</v>
      </c>
      <c r="D993" t="s">
        <v>149</v>
      </c>
      <c r="E993" t="s">
        <v>34</v>
      </c>
      <c r="F993" t="s">
        <v>101</v>
      </c>
      <c r="G993" t="s">
        <v>36</v>
      </c>
      <c r="H993">
        <v>110176</v>
      </c>
      <c r="I993">
        <v>8830.0499999999993</v>
      </c>
      <c r="J993" t="s">
        <v>29</v>
      </c>
      <c r="K993" t="s">
        <v>21</v>
      </c>
      <c r="L993">
        <v>2022</v>
      </c>
      <c r="M993" t="s">
        <v>2439</v>
      </c>
    </row>
    <row r="994" spans="1:13" x14ac:dyDescent="0.35">
      <c r="A994" t="s">
        <v>2440</v>
      </c>
      <c r="B994" t="s">
        <v>2441</v>
      </c>
      <c r="C994" t="s">
        <v>40</v>
      </c>
      <c r="D994" t="s">
        <v>96</v>
      </c>
      <c r="E994" t="s">
        <v>34</v>
      </c>
      <c r="F994" t="s">
        <v>35</v>
      </c>
      <c r="G994" t="s">
        <v>36</v>
      </c>
      <c r="H994">
        <v>160572</v>
      </c>
      <c r="I994">
        <v>17218.11</v>
      </c>
      <c r="J994" t="s">
        <v>113</v>
      </c>
      <c r="K994" t="s">
        <v>48</v>
      </c>
      <c r="L994">
        <v>2023</v>
      </c>
      <c r="M994" t="s">
        <v>2442</v>
      </c>
    </row>
    <row r="995" spans="1:13" x14ac:dyDescent="0.35">
      <c r="A995" t="s">
        <v>2443</v>
      </c>
      <c r="B995" t="s">
        <v>579</v>
      </c>
      <c r="C995" t="s">
        <v>25</v>
      </c>
      <c r="D995" t="s">
        <v>149</v>
      </c>
      <c r="E995" t="s">
        <v>34</v>
      </c>
      <c r="F995" t="s">
        <v>101</v>
      </c>
      <c r="G995" t="s">
        <v>36</v>
      </c>
      <c r="H995">
        <v>293826</v>
      </c>
      <c r="I995">
        <v>61112.83</v>
      </c>
      <c r="J995" t="s">
        <v>47</v>
      </c>
      <c r="K995" t="s">
        <v>48</v>
      </c>
      <c r="L995">
        <v>2025</v>
      </c>
      <c r="M995" t="s">
        <v>776</v>
      </c>
    </row>
    <row r="996" spans="1:13" x14ac:dyDescent="0.35">
      <c r="A996" t="s">
        <v>2444</v>
      </c>
      <c r="B996" t="s">
        <v>2445</v>
      </c>
      <c r="C996" t="s">
        <v>15</v>
      </c>
      <c r="D996" t="s">
        <v>57</v>
      </c>
      <c r="E996" t="s">
        <v>138</v>
      </c>
      <c r="F996" t="s">
        <v>208</v>
      </c>
      <c r="G996" t="s">
        <v>68</v>
      </c>
      <c r="H996">
        <v>42875</v>
      </c>
      <c r="I996">
        <v>-3708.81</v>
      </c>
      <c r="J996" t="s">
        <v>113</v>
      </c>
      <c r="K996" t="s">
        <v>30</v>
      </c>
      <c r="L996">
        <v>2023</v>
      </c>
      <c r="M996" t="s">
        <v>721</v>
      </c>
    </row>
    <row r="997" spans="1:13" x14ac:dyDescent="0.35">
      <c r="A997" t="s">
        <v>2446</v>
      </c>
      <c r="B997" t="s">
        <v>2269</v>
      </c>
      <c r="C997" t="s">
        <v>40</v>
      </c>
      <c r="D997" t="s">
        <v>41</v>
      </c>
      <c r="E997" t="s">
        <v>27</v>
      </c>
      <c r="F997" t="s">
        <v>219</v>
      </c>
      <c r="G997" t="s">
        <v>19</v>
      </c>
      <c r="H997">
        <v>677336</v>
      </c>
      <c r="I997">
        <v>9081.11</v>
      </c>
      <c r="J997" t="s">
        <v>47</v>
      </c>
      <c r="K997" t="s">
        <v>53</v>
      </c>
      <c r="L997">
        <v>2022</v>
      </c>
      <c r="M997" t="s">
        <v>2447</v>
      </c>
    </row>
    <row r="998" spans="1:13" x14ac:dyDescent="0.35">
      <c r="A998" t="s">
        <v>2448</v>
      </c>
      <c r="B998" t="s">
        <v>2449</v>
      </c>
      <c r="C998" t="s">
        <v>25</v>
      </c>
      <c r="D998" t="s">
        <v>83</v>
      </c>
      <c r="E998" t="s">
        <v>34</v>
      </c>
      <c r="F998" t="s">
        <v>58</v>
      </c>
      <c r="G998" t="s">
        <v>36</v>
      </c>
      <c r="H998">
        <v>228588</v>
      </c>
      <c r="I998">
        <v>51952.42</v>
      </c>
      <c r="J998" t="s">
        <v>59</v>
      </c>
      <c r="K998" t="s">
        <v>53</v>
      </c>
      <c r="L998">
        <v>2024</v>
      </c>
      <c r="M998" t="s">
        <v>2450</v>
      </c>
    </row>
    <row r="999" spans="1:13" x14ac:dyDescent="0.35">
      <c r="A999" t="s">
        <v>2451</v>
      </c>
      <c r="B999" t="s">
        <v>1413</v>
      </c>
      <c r="C999" t="s">
        <v>25</v>
      </c>
      <c r="D999" t="s">
        <v>83</v>
      </c>
      <c r="E999" t="s">
        <v>34</v>
      </c>
      <c r="F999" t="s">
        <v>67</v>
      </c>
      <c r="G999" t="s">
        <v>36</v>
      </c>
      <c r="H999">
        <v>156857</v>
      </c>
      <c r="I999">
        <v>19038.84</v>
      </c>
      <c r="J999" t="s">
        <v>97</v>
      </c>
      <c r="K999" t="s">
        <v>48</v>
      </c>
      <c r="L999">
        <v>2024</v>
      </c>
      <c r="M999" t="s">
        <v>1374</v>
      </c>
    </row>
    <row r="1000" spans="1:13" x14ac:dyDescent="0.35">
      <c r="A1000" t="s">
        <v>2452</v>
      </c>
      <c r="B1000" t="s">
        <v>2453</v>
      </c>
      <c r="C1000" t="s">
        <v>40</v>
      </c>
      <c r="D1000" t="s">
        <v>41</v>
      </c>
      <c r="E1000" t="s">
        <v>27</v>
      </c>
      <c r="F1000" t="s">
        <v>219</v>
      </c>
      <c r="G1000" t="s">
        <v>36</v>
      </c>
      <c r="H1000">
        <v>89806</v>
      </c>
      <c r="I1000">
        <v>-901.55</v>
      </c>
      <c r="J1000" t="s">
        <v>47</v>
      </c>
      <c r="K1000" t="s">
        <v>53</v>
      </c>
      <c r="L1000">
        <v>2022</v>
      </c>
      <c r="M1000" t="s">
        <v>2454</v>
      </c>
    </row>
    <row r="1001" spans="1:13" x14ac:dyDescent="0.35">
      <c r="A1001" t="s">
        <v>2455</v>
      </c>
      <c r="B1001" t="s">
        <v>2456</v>
      </c>
      <c r="C1001" t="s">
        <v>15</v>
      </c>
      <c r="D1001" t="s">
        <v>16</v>
      </c>
      <c r="E1001" t="s">
        <v>34</v>
      </c>
      <c r="F1001" t="s">
        <v>101</v>
      </c>
      <c r="G1001" t="s">
        <v>36</v>
      </c>
      <c r="H1001">
        <v>185721</v>
      </c>
      <c r="I1001">
        <v>24580.34</v>
      </c>
      <c r="J1001" t="s">
        <v>29</v>
      </c>
      <c r="K1001" t="s">
        <v>53</v>
      </c>
      <c r="L1001">
        <v>2025</v>
      </c>
      <c r="M1001" t="s">
        <v>49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9"/>
  <sheetViews>
    <sheetView showGridLines="0" tabSelected="1" topLeftCell="B1" workbookViewId="0">
      <selection activeCell="N4" sqref="N4"/>
    </sheetView>
  </sheetViews>
  <sheetFormatPr defaultRowHeight="14.5" x14ac:dyDescent="0.35"/>
  <sheetData>
    <row r="1" spans="1:19" x14ac:dyDescent="0.35">
      <c r="A1" s="21" t="s">
        <v>2457</v>
      </c>
      <c r="B1" s="22"/>
      <c r="C1" s="22"/>
      <c r="D1" s="22"/>
      <c r="E1" s="22"/>
      <c r="F1" s="22"/>
      <c r="G1" s="22"/>
      <c r="H1" s="22"/>
      <c r="I1" s="22"/>
      <c r="J1" s="22"/>
      <c r="K1" s="22"/>
      <c r="L1" s="22"/>
      <c r="M1" s="22"/>
      <c r="N1" s="1"/>
      <c r="O1" s="1"/>
      <c r="P1" s="1"/>
      <c r="Q1" s="1"/>
      <c r="R1" s="1"/>
      <c r="S1" s="1"/>
    </row>
    <row r="2" spans="1:19" x14ac:dyDescent="0.35">
      <c r="A2" s="22"/>
      <c r="B2" s="22"/>
      <c r="C2" s="22"/>
      <c r="D2" s="22"/>
      <c r="E2" s="22"/>
      <c r="F2" s="22"/>
      <c r="G2" s="22"/>
      <c r="H2" s="22"/>
      <c r="I2" s="22"/>
      <c r="J2" s="22"/>
      <c r="K2" s="22"/>
      <c r="L2" s="22"/>
      <c r="M2" s="22"/>
      <c r="N2" s="1"/>
      <c r="O2" s="1"/>
      <c r="P2" s="1"/>
      <c r="Q2" s="1"/>
      <c r="R2" s="1"/>
      <c r="S2" s="1"/>
    </row>
    <row r="3" spans="1:19" x14ac:dyDescent="0.35">
      <c r="A3" s="2" t="s">
        <v>2458</v>
      </c>
      <c r="B3" s="3"/>
      <c r="C3" s="4" t="s">
        <v>2459</v>
      </c>
      <c r="D3" s="5"/>
      <c r="E3" s="6" t="s">
        <v>2460</v>
      </c>
      <c r="F3" s="7"/>
      <c r="G3" s="8" t="s">
        <v>2461</v>
      </c>
      <c r="H3" s="9"/>
      <c r="I3" s="10" t="s">
        <v>2462</v>
      </c>
      <c r="J3" s="11"/>
      <c r="K3" s="1"/>
      <c r="L3" s="1"/>
      <c r="M3" s="1"/>
      <c r="N3" s="1"/>
      <c r="O3" s="1"/>
      <c r="P3" s="1"/>
      <c r="Q3" s="1"/>
      <c r="R3" s="1"/>
      <c r="S3" s="1"/>
    </row>
    <row r="4" spans="1:19" ht="18.5" x14ac:dyDescent="0.45">
      <c r="A4" s="12">
        <f>SUMIFS(FinanceData[Amount],FinanceData[Category],"Revenue")</f>
        <v>78485111</v>
      </c>
      <c r="B4" s="3"/>
      <c r="C4" s="13">
        <f>SUMIFS(FinanceData[Amount],FinanceData[Category],"Expense")</f>
        <v>39978264</v>
      </c>
      <c r="D4" s="5"/>
      <c r="E4" s="14">
        <f>SUM(FinanceData[ProfitLoss])</f>
        <v>-19533739.139999997</v>
      </c>
      <c r="F4" s="7"/>
      <c r="G4" s="15">
        <f>ROUND(AVERAGE(FinanceData[Amount]),0)</f>
        <v>170511</v>
      </c>
      <c r="H4" s="9"/>
      <c r="I4" s="16">
        <f>COUNTA(FinanceData[TransactionID])</f>
        <v>1000</v>
      </c>
      <c r="J4" s="11"/>
      <c r="K4" s="1"/>
      <c r="L4" s="1"/>
      <c r="M4" s="1"/>
      <c r="N4" s="1"/>
      <c r="O4" s="1"/>
      <c r="P4" s="1"/>
      <c r="Q4" s="1"/>
      <c r="R4" s="1"/>
      <c r="S4" s="1"/>
    </row>
    <row r="5" spans="1:19" x14ac:dyDescent="0.35">
      <c r="A5" s="1"/>
      <c r="B5" s="1"/>
      <c r="C5" s="1"/>
      <c r="D5" s="1"/>
      <c r="E5" s="1"/>
      <c r="F5" s="1"/>
      <c r="G5" s="1"/>
      <c r="H5" s="1"/>
      <c r="I5" s="1"/>
      <c r="J5" s="1"/>
      <c r="K5" s="1"/>
      <c r="L5" s="1"/>
      <c r="M5" s="1"/>
      <c r="N5" s="1"/>
      <c r="O5" s="1"/>
      <c r="P5" s="1"/>
      <c r="Q5" s="1"/>
      <c r="R5" s="1"/>
      <c r="S5" s="1"/>
    </row>
    <row r="6" spans="1:19" x14ac:dyDescent="0.35">
      <c r="A6" s="17" t="s">
        <v>2</v>
      </c>
      <c r="B6" s="17" t="s">
        <v>2463</v>
      </c>
      <c r="C6" s="1"/>
      <c r="D6" s="1"/>
      <c r="E6" s="1"/>
      <c r="F6" s="17" t="s">
        <v>11</v>
      </c>
      <c r="G6" s="17" t="s">
        <v>34</v>
      </c>
      <c r="H6" s="17" t="s">
        <v>17</v>
      </c>
      <c r="I6" s="1"/>
      <c r="J6" s="1"/>
      <c r="K6" s="1"/>
      <c r="L6" s="1"/>
      <c r="M6" s="1"/>
      <c r="N6" s="1"/>
      <c r="O6" s="1"/>
      <c r="P6" s="1"/>
      <c r="Q6" s="1"/>
      <c r="R6" s="1"/>
      <c r="S6" s="1"/>
    </row>
    <row r="7" spans="1:19" x14ac:dyDescent="0.35">
      <c r="A7" s="18" t="s">
        <v>76</v>
      </c>
      <c r="B7" s="18">
        <v>-3240039.26</v>
      </c>
      <c r="C7" s="1"/>
      <c r="D7" s="1"/>
      <c r="E7" s="1"/>
      <c r="F7" s="18">
        <v>2021</v>
      </c>
      <c r="G7" s="18">
        <v>15116546</v>
      </c>
      <c r="H7" s="18">
        <v>8272721</v>
      </c>
      <c r="I7" s="1"/>
      <c r="J7" s="1"/>
      <c r="K7" s="1"/>
      <c r="L7" s="1"/>
      <c r="M7" s="1"/>
      <c r="N7" s="1"/>
      <c r="O7" s="1"/>
      <c r="P7" s="1"/>
      <c r="Q7" s="1"/>
      <c r="R7" s="1"/>
      <c r="S7" s="1"/>
    </row>
    <row r="8" spans="1:19" x14ac:dyDescent="0.35">
      <c r="A8" s="18" t="s">
        <v>25</v>
      </c>
      <c r="B8" s="18">
        <v>-5906471.9299999997</v>
      </c>
      <c r="C8" s="1"/>
      <c r="D8" s="1"/>
      <c r="E8" s="1"/>
      <c r="F8" s="18">
        <v>2022</v>
      </c>
      <c r="G8" s="18">
        <v>15723765</v>
      </c>
      <c r="H8" s="18">
        <v>8098545</v>
      </c>
      <c r="I8" s="1"/>
      <c r="J8" s="1"/>
      <c r="K8" s="1"/>
      <c r="L8" s="1"/>
      <c r="M8" s="1"/>
      <c r="N8" s="1"/>
      <c r="O8" s="1"/>
      <c r="P8" s="1"/>
      <c r="Q8" s="1"/>
      <c r="R8" s="1"/>
      <c r="S8" s="1"/>
    </row>
    <row r="9" spans="1:19" x14ac:dyDescent="0.35">
      <c r="A9" s="18" t="s">
        <v>40</v>
      </c>
      <c r="B9" s="18">
        <v>-5780846.3499999996</v>
      </c>
      <c r="C9" s="1"/>
      <c r="D9" s="1"/>
      <c r="E9" s="1"/>
      <c r="F9" s="18">
        <v>2023</v>
      </c>
      <c r="G9" s="18">
        <v>14547564</v>
      </c>
      <c r="H9" s="18">
        <v>7608186</v>
      </c>
      <c r="I9" s="1"/>
      <c r="J9" s="1"/>
      <c r="K9" s="1"/>
      <c r="L9" s="1"/>
      <c r="M9" s="1"/>
      <c r="N9" s="1"/>
      <c r="O9" s="1"/>
      <c r="P9" s="1"/>
      <c r="Q9" s="1"/>
      <c r="R9" s="1"/>
      <c r="S9" s="1"/>
    </row>
    <row r="10" spans="1:19" x14ac:dyDescent="0.35">
      <c r="A10" s="18" t="s">
        <v>15</v>
      </c>
      <c r="B10" s="18">
        <v>-4606381.5999999996</v>
      </c>
      <c r="C10" s="1"/>
      <c r="D10" s="1"/>
      <c r="E10" s="1"/>
      <c r="F10" s="18">
        <v>2024</v>
      </c>
      <c r="G10" s="18">
        <v>17805575</v>
      </c>
      <c r="H10" s="18">
        <v>7373989</v>
      </c>
      <c r="I10" s="1"/>
      <c r="J10" s="1"/>
      <c r="K10" s="1"/>
      <c r="L10" s="1"/>
      <c r="M10" s="1"/>
      <c r="N10" s="1"/>
      <c r="O10" s="1"/>
      <c r="P10" s="1"/>
      <c r="Q10" s="1"/>
      <c r="R10" s="1"/>
      <c r="S10" s="1"/>
    </row>
    <row r="11" spans="1:19" x14ac:dyDescent="0.35">
      <c r="A11" s="1"/>
      <c r="B11" s="1"/>
      <c r="C11" s="1"/>
      <c r="D11" s="1"/>
      <c r="E11" s="1"/>
      <c r="F11" s="18">
        <v>2025</v>
      </c>
      <c r="G11" s="18">
        <v>15291661</v>
      </c>
      <c r="H11" s="18">
        <v>8624823</v>
      </c>
      <c r="I11" s="1"/>
      <c r="J11" s="1"/>
      <c r="K11" s="1"/>
      <c r="L11" s="1"/>
      <c r="M11" s="1"/>
      <c r="N11" s="1"/>
      <c r="O11" s="1"/>
      <c r="P11" s="1"/>
      <c r="Q11" s="1"/>
      <c r="R11" s="1"/>
      <c r="S11" s="1"/>
    </row>
    <row r="12" spans="1:19" x14ac:dyDescent="0.35">
      <c r="A12" s="1"/>
      <c r="B12" s="1"/>
      <c r="C12" s="1"/>
      <c r="D12" s="1"/>
      <c r="E12" s="1"/>
      <c r="F12" s="1"/>
      <c r="G12" s="1"/>
      <c r="H12" s="1"/>
      <c r="I12" s="1"/>
      <c r="J12" s="1"/>
      <c r="K12" s="1"/>
      <c r="L12" s="1"/>
      <c r="M12" s="1"/>
      <c r="N12" s="1"/>
      <c r="O12" s="1"/>
      <c r="P12" s="1"/>
      <c r="Q12" s="1"/>
      <c r="R12" s="1"/>
      <c r="S12" s="1"/>
    </row>
    <row r="13" spans="1:19" x14ac:dyDescent="0.35">
      <c r="A13" s="1"/>
      <c r="B13" s="1"/>
      <c r="C13" s="1"/>
      <c r="D13" s="1"/>
      <c r="E13" s="1"/>
      <c r="F13" s="1"/>
      <c r="G13" s="1"/>
      <c r="H13" s="1"/>
      <c r="I13" s="1"/>
      <c r="J13" s="1"/>
      <c r="K13" s="1"/>
      <c r="L13" s="1"/>
      <c r="M13" s="1"/>
      <c r="N13" s="1"/>
      <c r="O13" s="1"/>
      <c r="P13" s="1"/>
      <c r="Q13" s="1"/>
      <c r="R13" s="1"/>
      <c r="S13" s="1"/>
    </row>
    <row r="14" spans="1:19" x14ac:dyDescent="0.35">
      <c r="A14" s="1"/>
      <c r="B14" s="1"/>
      <c r="C14" s="1"/>
      <c r="D14" s="1"/>
      <c r="E14" s="1"/>
      <c r="F14" s="1"/>
      <c r="G14" s="1"/>
      <c r="H14" s="1"/>
      <c r="I14" s="1"/>
      <c r="J14" s="1"/>
      <c r="K14" s="1"/>
      <c r="L14" s="1"/>
      <c r="M14" s="1"/>
      <c r="N14" s="1"/>
      <c r="O14" s="1"/>
      <c r="P14" s="1"/>
      <c r="Q14" s="1"/>
      <c r="R14" s="1"/>
      <c r="S14" s="1"/>
    </row>
    <row r="15" spans="1:19" x14ac:dyDescent="0.35">
      <c r="A15" s="17" t="s">
        <v>4</v>
      </c>
      <c r="B15" s="17" t="s">
        <v>7</v>
      </c>
      <c r="C15" s="1"/>
      <c r="D15" s="1"/>
      <c r="E15" s="1"/>
      <c r="F15" s="17" t="s">
        <v>11</v>
      </c>
      <c r="G15" s="17" t="s">
        <v>2464</v>
      </c>
      <c r="H15" s="1"/>
      <c r="I15" s="1"/>
      <c r="J15" s="1"/>
      <c r="K15" s="1"/>
      <c r="L15" s="1"/>
      <c r="M15" s="1"/>
      <c r="N15" s="1"/>
      <c r="O15" s="1"/>
      <c r="P15" s="1"/>
      <c r="Q15" s="1"/>
      <c r="R15" s="1"/>
      <c r="S15" s="1"/>
    </row>
    <row r="16" spans="1:19" x14ac:dyDescent="0.35">
      <c r="A16" s="18" t="s">
        <v>17</v>
      </c>
      <c r="B16" s="18">
        <v>39978264</v>
      </c>
      <c r="C16" s="1"/>
      <c r="D16" s="1"/>
      <c r="E16" s="1"/>
      <c r="F16" s="18">
        <v>2021</v>
      </c>
      <c r="G16" s="18">
        <v>-4186264.88</v>
      </c>
      <c r="H16" s="1"/>
      <c r="I16" s="1"/>
      <c r="J16" s="1"/>
      <c r="K16" s="1"/>
      <c r="L16" s="1"/>
      <c r="M16" s="1"/>
      <c r="N16" s="1"/>
      <c r="O16" s="1"/>
      <c r="P16" s="1"/>
      <c r="Q16" s="1"/>
      <c r="R16" s="1"/>
      <c r="S16" s="1"/>
    </row>
    <row r="17" spans="1:19" x14ac:dyDescent="0.35">
      <c r="A17" s="18" t="s">
        <v>27</v>
      </c>
      <c r="B17" s="18">
        <v>41224458</v>
      </c>
      <c r="C17" s="1"/>
      <c r="D17" s="1"/>
      <c r="E17" s="1"/>
      <c r="F17" s="18">
        <v>2022</v>
      </c>
      <c r="G17" s="18">
        <v>-3904393.87</v>
      </c>
      <c r="H17" s="1"/>
      <c r="I17" s="1"/>
      <c r="J17" s="1"/>
      <c r="K17" s="1"/>
      <c r="L17" s="1"/>
      <c r="M17" s="1"/>
      <c r="N17" s="1"/>
      <c r="O17" s="1"/>
      <c r="P17" s="1"/>
      <c r="Q17" s="1"/>
      <c r="R17" s="1"/>
      <c r="S17" s="1"/>
    </row>
    <row r="18" spans="1:19" x14ac:dyDescent="0.35">
      <c r="A18" s="18" t="s">
        <v>138</v>
      </c>
      <c r="B18" s="18">
        <v>10823645</v>
      </c>
      <c r="C18" s="1"/>
      <c r="D18" s="1"/>
      <c r="E18" s="1"/>
      <c r="F18" s="18">
        <v>2023</v>
      </c>
      <c r="G18" s="18">
        <v>-3866189.12</v>
      </c>
      <c r="H18" s="1"/>
      <c r="I18" s="1"/>
      <c r="J18" s="1"/>
      <c r="K18" s="1"/>
      <c r="L18" s="1"/>
      <c r="M18" s="1"/>
      <c r="N18" s="1"/>
      <c r="O18" s="1"/>
      <c r="P18" s="1"/>
      <c r="Q18" s="1"/>
      <c r="R18" s="1"/>
      <c r="S18" s="1"/>
    </row>
    <row r="19" spans="1:19" x14ac:dyDescent="0.35">
      <c r="A19" s="18" t="s">
        <v>34</v>
      </c>
      <c r="B19" s="18">
        <v>78485111</v>
      </c>
      <c r="C19" s="1"/>
      <c r="D19" s="1"/>
      <c r="E19" s="1"/>
      <c r="F19" s="18">
        <v>2024</v>
      </c>
      <c r="G19" s="18">
        <v>-3324578.76</v>
      </c>
      <c r="H19" s="1"/>
      <c r="I19" s="1"/>
      <c r="J19" s="1"/>
      <c r="K19" s="1"/>
      <c r="L19" s="1"/>
      <c r="M19" s="1"/>
      <c r="N19" s="1"/>
      <c r="O19" s="1"/>
      <c r="P19" s="1"/>
      <c r="Q19" s="1"/>
      <c r="R19" s="1"/>
      <c r="S19" s="1"/>
    </row>
    <row r="20" spans="1:19" x14ac:dyDescent="0.35">
      <c r="A20" s="1"/>
      <c r="B20" s="1"/>
      <c r="C20" s="1"/>
      <c r="D20" s="1"/>
      <c r="E20" s="1"/>
      <c r="F20" s="18">
        <v>2025</v>
      </c>
      <c r="G20" s="18">
        <v>-4252312.51</v>
      </c>
      <c r="H20" s="1"/>
      <c r="I20" s="1"/>
      <c r="J20" s="1"/>
      <c r="K20" s="1"/>
      <c r="L20" s="1"/>
      <c r="M20" s="1"/>
      <c r="N20" s="1"/>
      <c r="O20" s="1"/>
      <c r="P20" s="1"/>
      <c r="Q20" s="1"/>
      <c r="R20" s="1"/>
      <c r="S20" s="1"/>
    </row>
    <row r="21" spans="1:19" x14ac:dyDescent="0.35">
      <c r="A21" s="1"/>
      <c r="B21" s="1"/>
      <c r="C21" s="1"/>
      <c r="D21" s="1"/>
      <c r="E21" s="1"/>
      <c r="F21" s="1"/>
      <c r="G21" s="1"/>
      <c r="H21" s="1"/>
      <c r="I21" s="1"/>
      <c r="J21" s="1"/>
      <c r="K21" s="1"/>
      <c r="L21" s="1"/>
      <c r="M21" s="1"/>
      <c r="N21" s="1"/>
      <c r="O21" s="1"/>
      <c r="P21" s="1"/>
      <c r="Q21" s="1"/>
      <c r="R21" s="1"/>
      <c r="S21" s="1"/>
    </row>
    <row r="22" spans="1:19" x14ac:dyDescent="0.35">
      <c r="A22" s="1"/>
      <c r="B22" s="1"/>
      <c r="C22" s="1"/>
      <c r="D22" s="1"/>
      <c r="E22" s="1"/>
      <c r="F22" s="1"/>
      <c r="G22" s="1"/>
      <c r="H22" s="1"/>
      <c r="I22" s="1"/>
      <c r="J22" s="1"/>
      <c r="K22" s="1"/>
      <c r="L22" s="1"/>
      <c r="M22" s="1"/>
      <c r="N22" s="1"/>
      <c r="O22" s="1"/>
      <c r="P22" s="1"/>
      <c r="Q22" s="1"/>
      <c r="R22" s="1"/>
      <c r="S22" s="1"/>
    </row>
    <row r="23" spans="1:19" x14ac:dyDescent="0.35">
      <c r="A23" s="1"/>
      <c r="B23" s="1"/>
      <c r="C23" s="1"/>
      <c r="D23" s="1"/>
      <c r="E23" s="1"/>
      <c r="F23" s="1"/>
      <c r="G23" s="1"/>
      <c r="H23" s="1"/>
      <c r="I23" s="1"/>
      <c r="J23" s="1"/>
      <c r="K23" s="1"/>
      <c r="L23" s="1"/>
      <c r="M23" s="1"/>
      <c r="N23" s="1"/>
      <c r="O23" s="1"/>
      <c r="P23" s="1"/>
      <c r="Q23" s="1"/>
      <c r="R23" s="1"/>
      <c r="S23" s="1"/>
    </row>
    <row r="24" spans="1:19" x14ac:dyDescent="0.35">
      <c r="A24" s="1"/>
      <c r="B24" s="1"/>
      <c r="C24" s="1"/>
      <c r="D24" s="1"/>
      <c r="E24" s="1"/>
      <c r="F24" s="1"/>
      <c r="G24" s="1"/>
      <c r="H24" s="1"/>
      <c r="I24" s="1"/>
      <c r="J24" s="1"/>
      <c r="K24" s="1"/>
      <c r="L24" s="1"/>
      <c r="M24" s="1"/>
      <c r="N24" s="1"/>
      <c r="O24" s="1"/>
      <c r="P24" s="1"/>
      <c r="Q24" s="1"/>
      <c r="R24" s="1"/>
      <c r="S24" s="1"/>
    </row>
    <row r="25" spans="1:19" x14ac:dyDescent="0.35">
      <c r="A25" s="1"/>
      <c r="B25" s="1"/>
      <c r="C25" s="1"/>
      <c r="D25" s="1"/>
      <c r="E25" s="1"/>
      <c r="F25" s="1"/>
      <c r="G25" s="1"/>
      <c r="H25" s="1"/>
      <c r="I25" s="1"/>
      <c r="J25" s="1"/>
      <c r="K25" s="1"/>
      <c r="L25" s="1"/>
      <c r="M25" s="1"/>
      <c r="N25" s="1"/>
      <c r="O25" s="1"/>
      <c r="P25" s="1"/>
      <c r="Q25" s="1"/>
      <c r="R25" s="1"/>
      <c r="S25" s="1"/>
    </row>
    <row r="26" spans="1:19" x14ac:dyDescent="0.35">
      <c r="A26" s="1"/>
      <c r="B26" s="1"/>
      <c r="C26" s="1"/>
      <c r="D26" s="1"/>
      <c r="E26" s="1"/>
      <c r="F26" s="1"/>
      <c r="G26" s="1"/>
      <c r="H26" s="1"/>
      <c r="I26" s="1"/>
      <c r="J26" s="1"/>
      <c r="K26" s="1"/>
      <c r="L26" s="1"/>
      <c r="M26" s="1"/>
      <c r="N26" s="1"/>
      <c r="O26" s="1"/>
      <c r="P26" s="1"/>
      <c r="Q26" s="1"/>
      <c r="R26" s="1"/>
      <c r="S26" s="1"/>
    </row>
    <row r="27" spans="1:19" x14ac:dyDescent="0.35">
      <c r="A27" s="1"/>
      <c r="B27" s="1"/>
      <c r="C27" s="1"/>
      <c r="D27" s="1"/>
      <c r="E27" s="1"/>
      <c r="F27" s="1"/>
      <c r="G27" s="1"/>
      <c r="H27" s="1"/>
      <c r="I27" s="1"/>
      <c r="J27" s="1"/>
      <c r="K27" s="1"/>
      <c r="L27" s="1"/>
      <c r="M27" s="1"/>
      <c r="N27" s="1"/>
      <c r="O27" s="1"/>
      <c r="P27" s="1"/>
      <c r="Q27" s="1"/>
      <c r="R27" s="1"/>
      <c r="S27" s="1"/>
    </row>
    <row r="28" spans="1:19" x14ac:dyDescent="0.35">
      <c r="A28" s="1"/>
      <c r="B28" s="1"/>
      <c r="C28" s="1"/>
      <c r="D28" s="1"/>
      <c r="E28" s="1"/>
      <c r="F28" s="1"/>
      <c r="G28" s="1"/>
      <c r="H28" s="1"/>
      <c r="I28" s="1"/>
      <c r="J28" s="1"/>
      <c r="K28" s="1"/>
      <c r="L28" s="1"/>
      <c r="M28" s="1"/>
      <c r="N28" s="1"/>
      <c r="O28" s="1"/>
      <c r="P28" s="1"/>
      <c r="Q28" s="1"/>
      <c r="R28" s="1"/>
      <c r="S28" s="1"/>
    </row>
    <row r="29" spans="1:19" x14ac:dyDescent="0.35">
      <c r="A29" s="1"/>
      <c r="B29" s="1"/>
      <c r="C29" s="1"/>
      <c r="D29" s="1"/>
      <c r="E29" s="1"/>
      <c r="F29" s="1"/>
      <c r="G29" s="1"/>
      <c r="H29" s="1"/>
      <c r="I29" s="1"/>
      <c r="J29" s="1"/>
      <c r="K29" s="1"/>
      <c r="L29" s="1"/>
      <c r="M29" s="1"/>
      <c r="N29" s="1"/>
      <c r="O29" s="1"/>
      <c r="P29" s="1"/>
      <c r="Q29" s="1"/>
      <c r="R29" s="1"/>
      <c r="S29" s="1"/>
    </row>
    <row r="30" spans="1:19" x14ac:dyDescent="0.35">
      <c r="A30" s="1"/>
      <c r="B30" s="1"/>
      <c r="C30" s="1"/>
      <c r="D30" s="1"/>
      <c r="E30" s="1"/>
      <c r="F30" s="1"/>
      <c r="G30" s="1"/>
      <c r="H30" s="1"/>
      <c r="I30" s="1"/>
      <c r="J30" s="1"/>
      <c r="K30" s="1"/>
      <c r="L30" s="1"/>
      <c r="M30" s="1"/>
      <c r="N30" s="1"/>
      <c r="O30" s="1"/>
      <c r="P30" s="1"/>
      <c r="Q30" s="1"/>
      <c r="R30" s="1"/>
      <c r="S30" s="1"/>
    </row>
    <row r="31" spans="1:19" x14ac:dyDescent="0.35">
      <c r="A31" s="1"/>
      <c r="B31" s="1"/>
      <c r="C31" s="1"/>
      <c r="D31" s="1"/>
      <c r="E31" s="1"/>
      <c r="F31" s="1"/>
      <c r="G31" s="1"/>
      <c r="H31" s="1"/>
      <c r="I31" s="1"/>
      <c r="J31" s="1"/>
      <c r="K31" s="1"/>
      <c r="L31" s="1"/>
      <c r="M31" s="1"/>
      <c r="N31" s="1"/>
      <c r="O31" s="1"/>
      <c r="P31" s="1"/>
      <c r="Q31" s="1"/>
      <c r="R31" s="1"/>
      <c r="S31" s="1"/>
    </row>
    <row r="32" spans="1:19" x14ac:dyDescent="0.35">
      <c r="A32" s="1"/>
      <c r="B32" s="1"/>
      <c r="C32" s="1"/>
      <c r="D32" s="1"/>
      <c r="E32" s="1"/>
      <c r="F32" s="1"/>
      <c r="G32" s="1"/>
      <c r="H32" s="1"/>
      <c r="I32" s="1"/>
      <c r="J32" s="1"/>
      <c r="K32" s="1"/>
      <c r="L32" s="1"/>
      <c r="M32" s="1"/>
      <c r="N32" s="1"/>
      <c r="O32" s="1"/>
      <c r="P32" s="1"/>
      <c r="Q32" s="1"/>
      <c r="R32" s="1"/>
      <c r="S32" s="1"/>
    </row>
    <row r="33" spans="1:19" x14ac:dyDescent="0.35">
      <c r="A33" s="1"/>
      <c r="B33" s="1"/>
      <c r="C33" s="1"/>
      <c r="D33" s="1"/>
      <c r="E33" s="1"/>
      <c r="F33" s="1"/>
      <c r="G33" s="1"/>
      <c r="H33" s="1"/>
      <c r="I33" s="1"/>
      <c r="J33" s="1"/>
      <c r="K33" s="1"/>
      <c r="L33" s="1"/>
      <c r="M33" s="1"/>
      <c r="N33" s="1"/>
      <c r="O33" s="1"/>
      <c r="P33" s="1"/>
      <c r="Q33" s="1"/>
      <c r="R33" s="1"/>
      <c r="S33" s="1"/>
    </row>
    <row r="34" spans="1:19" x14ac:dyDescent="0.35">
      <c r="A34" s="1"/>
      <c r="B34" s="1"/>
      <c r="C34" s="1"/>
      <c r="D34" s="1"/>
      <c r="E34" s="1"/>
      <c r="F34" s="1"/>
      <c r="G34" s="1"/>
      <c r="H34" s="1"/>
      <c r="I34" s="1"/>
      <c r="J34" s="1"/>
      <c r="K34" s="1"/>
      <c r="L34" s="1"/>
      <c r="M34" s="1"/>
      <c r="N34" s="1"/>
      <c r="O34" s="1"/>
      <c r="P34" s="1"/>
      <c r="Q34" s="1"/>
      <c r="R34" s="1"/>
      <c r="S34" s="1"/>
    </row>
    <row r="35" spans="1:19" x14ac:dyDescent="0.35">
      <c r="A35" s="1"/>
      <c r="B35" s="1"/>
      <c r="C35" s="1"/>
      <c r="D35" s="1"/>
      <c r="E35" s="1"/>
      <c r="F35" s="1"/>
      <c r="G35" s="1"/>
      <c r="H35" s="1"/>
      <c r="I35" s="1"/>
      <c r="J35" s="1"/>
      <c r="K35" s="1"/>
      <c r="L35" s="1"/>
      <c r="M35" s="1"/>
      <c r="N35" s="1"/>
      <c r="O35" s="1"/>
      <c r="P35" s="1"/>
      <c r="Q35" s="1"/>
      <c r="R35" s="1"/>
      <c r="S35" s="1"/>
    </row>
    <row r="36" spans="1:19" x14ac:dyDescent="0.35">
      <c r="A36" s="1"/>
      <c r="B36" s="1"/>
      <c r="C36" s="1"/>
      <c r="D36" s="1"/>
      <c r="E36" s="1"/>
      <c r="F36" s="1"/>
      <c r="G36" s="1"/>
      <c r="H36" s="1"/>
      <c r="I36" s="1"/>
      <c r="J36" s="1"/>
      <c r="K36" s="1"/>
      <c r="L36" s="1"/>
      <c r="M36" s="1"/>
      <c r="N36" s="1"/>
      <c r="O36" s="1"/>
      <c r="P36" s="1"/>
      <c r="Q36" s="1"/>
      <c r="R36" s="1"/>
      <c r="S36" s="1"/>
    </row>
    <row r="37" spans="1:19" x14ac:dyDescent="0.35">
      <c r="A37" s="1"/>
      <c r="B37" s="1"/>
      <c r="C37" s="1"/>
      <c r="D37" s="1"/>
      <c r="E37" s="1"/>
      <c r="F37" s="1"/>
      <c r="G37" s="1"/>
      <c r="H37" s="1"/>
      <c r="I37" s="1"/>
      <c r="J37" s="1"/>
      <c r="K37" s="1"/>
      <c r="L37" s="1"/>
      <c r="M37" s="1"/>
      <c r="N37" s="1"/>
      <c r="O37" s="1"/>
      <c r="P37" s="1"/>
      <c r="Q37" s="1"/>
      <c r="R37" s="1"/>
      <c r="S37" s="1"/>
    </row>
    <row r="38" spans="1:19" x14ac:dyDescent="0.35">
      <c r="A38" s="1"/>
      <c r="B38" s="1"/>
      <c r="C38" s="1"/>
      <c r="D38" s="1"/>
      <c r="E38" s="1"/>
      <c r="F38" s="1"/>
      <c r="G38" s="1"/>
      <c r="H38" s="1"/>
      <c r="I38" s="1"/>
      <c r="J38" s="1"/>
      <c r="K38" s="1"/>
      <c r="L38" s="1"/>
      <c r="M38" s="1"/>
      <c r="N38" s="1"/>
      <c r="O38" s="1"/>
      <c r="P38" s="1"/>
      <c r="Q38" s="1"/>
      <c r="R38" s="1"/>
      <c r="S38" s="1"/>
    </row>
    <row r="39" spans="1:19" x14ac:dyDescent="0.35">
      <c r="A39" s="1"/>
      <c r="B39" s="1"/>
      <c r="C39" s="1"/>
      <c r="D39" s="1"/>
      <c r="E39" s="1"/>
      <c r="F39" s="1"/>
      <c r="G39" s="1"/>
      <c r="H39" s="1"/>
      <c r="I39" s="1"/>
      <c r="J39" s="1"/>
      <c r="K39" s="1"/>
      <c r="L39" s="1"/>
      <c r="M39" s="1"/>
      <c r="N39" s="1"/>
      <c r="O39" s="1"/>
      <c r="P39" s="1"/>
      <c r="Q39" s="1"/>
      <c r="R39" s="1"/>
      <c r="S39" s="1"/>
    </row>
  </sheetData>
  <mergeCells count="1">
    <mergeCell ref="A1:M2"/>
  </mergeCells>
  <pageMargins left="0.75" right="0.75" top="1" bottom="1" header="0.5" footer="0.5"/>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17BD1-C918-4266-96CB-B45B842B84F3}">
  <dimension ref="A1:H17"/>
  <sheetViews>
    <sheetView workbookViewId="0">
      <selection activeCell="G6" sqref="G6"/>
    </sheetView>
  </sheetViews>
  <sheetFormatPr defaultRowHeight="14.5" x14ac:dyDescent="0.35"/>
  <sheetData>
    <row r="1" spans="1:8" x14ac:dyDescent="0.35">
      <c r="A1" s="17" t="s">
        <v>2</v>
      </c>
      <c r="B1" s="17" t="s">
        <v>2463</v>
      </c>
      <c r="D1" s="17" t="s">
        <v>11</v>
      </c>
      <c r="E1" s="17" t="s">
        <v>34</v>
      </c>
      <c r="F1" s="17" t="s">
        <v>17</v>
      </c>
    </row>
    <row r="2" spans="1:8" x14ac:dyDescent="0.35">
      <c r="A2" s="18" t="s">
        <v>76</v>
      </c>
      <c r="B2" s="18">
        <v>-3240039.26</v>
      </c>
      <c r="D2" s="18">
        <v>2021</v>
      </c>
      <c r="E2" s="18">
        <v>15116546</v>
      </c>
      <c r="F2" s="18">
        <v>8272721</v>
      </c>
    </row>
    <row r="3" spans="1:8" x14ac:dyDescent="0.35">
      <c r="A3" s="18" t="s">
        <v>25</v>
      </c>
      <c r="B3" s="18">
        <v>-5906471.9299999997</v>
      </c>
      <c r="D3" s="18">
        <v>2022</v>
      </c>
      <c r="E3" s="18">
        <v>15723765</v>
      </c>
      <c r="F3" s="18">
        <v>8098545</v>
      </c>
    </row>
    <row r="4" spans="1:8" x14ac:dyDescent="0.35">
      <c r="A4" s="18" t="s">
        <v>40</v>
      </c>
      <c r="B4" s="18">
        <v>-5780846.3499999996</v>
      </c>
      <c r="D4" s="18">
        <v>2023</v>
      </c>
      <c r="E4" s="18">
        <v>14547564</v>
      </c>
      <c r="F4" s="18">
        <v>7608186</v>
      </c>
    </row>
    <row r="5" spans="1:8" x14ac:dyDescent="0.35">
      <c r="A5" s="18" t="s">
        <v>15</v>
      </c>
      <c r="B5" s="18">
        <v>-4606381.5999999996</v>
      </c>
      <c r="D5" s="18">
        <v>2024</v>
      </c>
      <c r="E5" s="18">
        <v>17805575</v>
      </c>
      <c r="F5" s="18">
        <v>7373989</v>
      </c>
    </row>
    <row r="6" spans="1:8" x14ac:dyDescent="0.35">
      <c r="D6" s="18">
        <v>2025</v>
      </c>
      <c r="E6" s="18">
        <v>15291661</v>
      </c>
      <c r="F6" s="18">
        <v>8624823</v>
      </c>
    </row>
    <row r="8" spans="1:8" x14ac:dyDescent="0.35">
      <c r="D8" s="17" t="s">
        <v>11</v>
      </c>
      <c r="E8" s="17" t="s">
        <v>2464</v>
      </c>
    </row>
    <row r="9" spans="1:8" x14ac:dyDescent="0.35">
      <c r="A9" s="17" t="s">
        <v>4</v>
      </c>
      <c r="B9" s="17" t="s">
        <v>7</v>
      </c>
      <c r="D9" s="18">
        <v>2021</v>
      </c>
      <c r="E9" s="18">
        <v>-4186264.88</v>
      </c>
    </row>
    <row r="10" spans="1:8" x14ac:dyDescent="0.35">
      <c r="A10" s="18" t="s">
        <v>17</v>
      </c>
      <c r="B10" s="18">
        <v>39978264</v>
      </c>
      <c r="D10" s="18">
        <v>2022</v>
      </c>
      <c r="E10" s="18">
        <v>-3904393.87</v>
      </c>
    </row>
    <row r="11" spans="1:8" x14ac:dyDescent="0.35">
      <c r="A11" s="18" t="s">
        <v>27</v>
      </c>
      <c r="B11" s="18">
        <v>41224458</v>
      </c>
      <c r="D11" s="18">
        <v>2023</v>
      </c>
      <c r="E11" s="18">
        <v>-3866189.12</v>
      </c>
    </row>
    <row r="12" spans="1:8" x14ac:dyDescent="0.35">
      <c r="A12" s="18" t="s">
        <v>138</v>
      </c>
      <c r="B12" s="18">
        <v>10823645</v>
      </c>
      <c r="D12" s="18">
        <v>2024</v>
      </c>
      <c r="E12" s="18">
        <v>-3324578.76</v>
      </c>
      <c r="G12" s="19" t="s">
        <v>2466</v>
      </c>
      <c r="H12" t="s">
        <v>2465</v>
      </c>
    </row>
    <row r="13" spans="1:8" x14ac:dyDescent="0.35">
      <c r="A13" s="18" t="s">
        <v>34</v>
      </c>
      <c r="B13" s="18">
        <v>78485111</v>
      </c>
      <c r="D13" s="18">
        <v>2025</v>
      </c>
      <c r="E13" s="18">
        <v>-4252312.51</v>
      </c>
      <c r="G13" s="20" t="s">
        <v>17</v>
      </c>
      <c r="H13">
        <v>-33561283.329999998</v>
      </c>
    </row>
    <row r="14" spans="1:8" x14ac:dyDescent="0.35">
      <c r="G14" s="20" t="s">
        <v>27</v>
      </c>
      <c r="H14">
        <v>2409194.5499999998</v>
      </c>
    </row>
    <row r="15" spans="1:8" x14ac:dyDescent="0.35">
      <c r="G15" s="20" t="s">
        <v>138</v>
      </c>
      <c r="H15">
        <v>-153753.35</v>
      </c>
    </row>
    <row r="16" spans="1:8" x14ac:dyDescent="0.35">
      <c r="G16" s="20" t="s">
        <v>34</v>
      </c>
      <c r="H16">
        <v>11772102.99</v>
      </c>
    </row>
    <row r="17" spans="7:8" x14ac:dyDescent="0.35">
      <c r="G17" s="20" t="s">
        <v>2467</v>
      </c>
      <c r="H17">
        <v>-19533739.140000001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Dashboard</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 ZBOOK 15 G3</cp:lastModifiedBy>
  <dcterms:created xsi:type="dcterms:W3CDTF">2025-10-12T15:03:32Z</dcterms:created>
  <dcterms:modified xsi:type="dcterms:W3CDTF">2025-10-25T02:38:30Z</dcterms:modified>
</cp:coreProperties>
</file>